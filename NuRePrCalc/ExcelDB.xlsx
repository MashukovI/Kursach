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Kursovaya\Kursach\NuRePrCalc\"/>
    </mc:Choice>
  </mc:AlternateContent>
  <xr:revisionPtr revIDLastSave="0" documentId="13_ncr:1_{2B304D7E-6C5D-48AB-AE85-60608C08EE61}" xr6:coauthVersionLast="47" xr6:coauthVersionMax="47" xr10:uidLastSave="{00000000-0000-0000-0000-000000000000}"/>
  <bookViews>
    <workbookView xWindow="7605" yWindow="2055" windowWidth="16065" windowHeight="12615" xr2:uid="{1CCBBA1E-2000-48FF-870F-B726FE87704F}"/>
  </bookViews>
  <sheets>
    <sheet name="Лист2" sheetId="2" r:id="rId1"/>
  </sheets>
  <definedNames>
    <definedName name="t_дн">Лист2!#REF!</definedName>
    <definedName name="t_кип">Лист2!$X$16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2" l="1"/>
  <c r="O14" i="2"/>
  <c r="O15" i="2"/>
  <c r="O16" i="2"/>
  <c r="O17" i="2"/>
  <c r="O18" i="2"/>
  <c r="O19" i="2"/>
  <c r="O20" i="2"/>
  <c r="O12" i="2"/>
  <c r="M3" i="2"/>
  <c r="J86" i="2"/>
  <c r="I86" i="2"/>
  <c r="H86" i="2"/>
  <c r="G86" i="2"/>
  <c r="J67" i="2"/>
  <c r="I67" i="2"/>
  <c r="H67" i="2"/>
  <c r="G67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J48" i="2"/>
  <c r="J90" i="2" s="1"/>
  <c r="I48" i="2"/>
  <c r="I93" i="2" s="1"/>
  <c r="H48" i="2"/>
  <c r="H94" i="2" s="1"/>
  <c r="G48" i="2"/>
  <c r="G96" i="2" s="1"/>
  <c r="J29" i="2"/>
  <c r="J34" i="2" s="1"/>
  <c r="I29" i="2"/>
  <c r="I39" i="2" s="1"/>
  <c r="H29" i="2"/>
  <c r="H38" i="2" s="1"/>
  <c r="G29" i="2"/>
  <c r="G39" i="2" s="1"/>
  <c r="E21" i="2"/>
  <c r="D21" i="2"/>
  <c r="B21" i="2"/>
  <c r="E20" i="2"/>
  <c r="D20" i="2"/>
  <c r="B20" i="2"/>
  <c r="E19" i="2"/>
  <c r="D19" i="2"/>
  <c r="B19" i="2"/>
  <c r="E18" i="2"/>
  <c r="D18" i="2"/>
  <c r="C18" i="2"/>
  <c r="C19" i="2" s="1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J11" i="2"/>
  <c r="I11" i="2"/>
  <c r="I20" i="2" s="1"/>
  <c r="H11" i="2"/>
  <c r="G11" i="2"/>
  <c r="G19" i="2" s="1"/>
  <c r="H14" i="2" l="1"/>
  <c r="J38" i="2"/>
  <c r="J30" i="2"/>
  <c r="J33" i="2"/>
  <c r="I51" i="2"/>
  <c r="I70" i="2"/>
  <c r="I38" i="2"/>
  <c r="I30" i="2"/>
  <c r="H39" i="2"/>
  <c r="G52" i="2"/>
  <c r="J54" i="2"/>
  <c r="I19" i="2"/>
  <c r="I14" i="2"/>
  <c r="I15" i="2"/>
  <c r="I17" i="2"/>
  <c r="I74" i="2"/>
  <c r="I13" i="2"/>
  <c r="I58" i="2"/>
  <c r="I90" i="2"/>
  <c r="I50" i="2"/>
  <c r="I52" i="2"/>
  <c r="I54" i="2"/>
  <c r="I68" i="2"/>
  <c r="H35" i="2"/>
  <c r="H32" i="2"/>
  <c r="G15" i="2"/>
  <c r="G32" i="2"/>
  <c r="G20" i="2"/>
  <c r="G53" i="2"/>
  <c r="J71" i="2"/>
  <c r="J68" i="2"/>
  <c r="I76" i="2"/>
  <c r="I91" i="2"/>
  <c r="I18" i="2"/>
  <c r="I56" i="2"/>
  <c r="I72" i="2"/>
  <c r="I77" i="2"/>
  <c r="I94" i="2"/>
  <c r="I21" i="2"/>
  <c r="I55" i="2"/>
  <c r="I69" i="2"/>
  <c r="I73" i="2"/>
  <c r="I87" i="2"/>
  <c r="I95" i="2"/>
  <c r="H18" i="2"/>
  <c r="H87" i="2"/>
  <c r="H91" i="2"/>
  <c r="H33" i="2"/>
  <c r="H36" i="2"/>
  <c r="H52" i="2"/>
  <c r="H55" i="2"/>
  <c r="H70" i="2"/>
  <c r="H73" i="2"/>
  <c r="H56" i="2"/>
  <c r="H69" i="2"/>
  <c r="H74" i="2"/>
  <c r="H51" i="2"/>
  <c r="H95" i="2"/>
  <c r="H15" i="2"/>
  <c r="H31" i="2"/>
  <c r="H77" i="2"/>
  <c r="H88" i="2"/>
  <c r="H92" i="2"/>
  <c r="H96" i="2"/>
  <c r="G33" i="2"/>
  <c r="G92" i="2"/>
  <c r="G36" i="2"/>
  <c r="G93" i="2"/>
  <c r="G37" i="2"/>
  <c r="C20" i="2"/>
  <c r="C21" i="2" s="1"/>
  <c r="H19" i="2"/>
  <c r="J19" i="2"/>
  <c r="J15" i="2"/>
  <c r="J18" i="2"/>
  <c r="J14" i="2"/>
  <c r="J16" i="2"/>
  <c r="J13" i="2"/>
  <c r="J20" i="2"/>
  <c r="J53" i="2"/>
  <c r="H21" i="2"/>
  <c r="J12" i="2"/>
  <c r="G95" i="2"/>
  <c r="G91" i="2"/>
  <c r="G87" i="2"/>
  <c r="G77" i="2"/>
  <c r="G73" i="2"/>
  <c r="G69" i="2"/>
  <c r="G55" i="2"/>
  <c r="G51" i="2"/>
  <c r="G94" i="2"/>
  <c r="G90" i="2"/>
  <c r="G76" i="2"/>
  <c r="G72" i="2"/>
  <c r="G68" i="2"/>
  <c r="G58" i="2"/>
  <c r="G54" i="2"/>
  <c r="G50" i="2"/>
  <c r="G49" i="2"/>
  <c r="J50" i="2"/>
  <c r="G57" i="2"/>
  <c r="J58" i="2"/>
  <c r="G74" i="2"/>
  <c r="G75" i="2"/>
  <c r="J76" i="2"/>
  <c r="G89" i="2"/>
  <c r="G18" i="2"/>
  <c r="G14" i="2"/>
  <c r="G21" i="2"/>
  <c r="G13" i="2"/>
  <c r="G17" i="2"/>
  <c r="G12" i="2"/>
  <c r="J96" i="2"/>
  <c r="J92" i="2"/>
  <c r="J88" i="2"/>
  <c r="J74" i="2"/>
  <c r="J70" i="2"/>
  <c r="J56" i="2"/>
  <c r="J52" i="2"/>
  <c r="J95" i="2"/>
  <c r="J91" i="2"/>
  <c r="J87" i="2"/>
  <c r="J77" i="2"/>
  <c r="J73" i="2"/>
  <c r="J69" i="2"/>
  <c r="J55" i="2"/>
  <c r="J51" i="2"/>
  <c r="J94" i="2"/>
  <c r="J93" i="2"/>
  <c r="I37" i="2"/>
  <c r="I33" i="2"/>
  <c r="I36" i="2"/>
  <c r="I32" i="2"/>
  <c r="I35" i="2"/>
  <c r="G16" i="2"/>
  <c r="J17" i="2"/>
  <c r="J21" i="2"/>
  <c r="J36" i="2"/>
  <c r="J32" i="2"/>
  <c r="J39" i="2"/>
  <c r="J35" i="2"/>
  <c r="J31" i="2"/>
  <c r="I31" i="2"/>
  <c r="I34" i="2"/>
  <c r="J37" i="2"/>
  <c r="J49" i="2"/>
  <c r="G56" i="2"/>
  <c r="J57" i="2"/>
  <c r="G70" i="2"/>
  <c r="G71" i="2"/>
  <c r="J72" i="2"/>
  <c r="J75" i="2"/>
  <c r="G88" i="2"/>
  <c r="J89" i="2"/>
  <c r="H12" i="2"/>
  <c r="H16" i="2"/>
  <c r="G30" i="2"/>
  <c r="G34" i="2"/>
  <c r="H37" i="2"/>
  <c r="G38" i="2"/>
  <c r="H49" i="2"/>
  <c r="H53" i="2"/>
  <c r="H57" i="2"/>
  <c r="H71" i="2"/>
  <c r="H75" i="2"/>
  <c r="I88" i="2"/>
  <c r="H89" i="2"/>
  <c r="I92" i="2"/>
  <c r="H93" i="2"/>
  <c r="I96" i="2"/>
  <c r="H20" i="2"/>
  <c r="I12" i="2"/>
  <c r="H13" i="2"/>
  <c r="I16" i="2"/>
  <c r="H17" i="2"/>
  <c r="H30" i="2"/>
  <c r="G31" i="2"/>
  <c r="H34" i="2"/>
  <c r="G35" i="2"/>
  <c r="I49" i="2"/>
  <c r="H50" i="2"/>
  <c r="I53" i="2"/>
  <c r="H54" i="2"/>
  <c r="I57" i="2"/>
  <c r="H58" i="2"/>
  <c r="H68" i="2"/>
  <c r="I71" i="2"/>
  <c r="H72" i="2"/>
  <c r="I75" i="2"/>
  <c r="H76" i="2"/>
  <c r="I89" i="2"/>
  <c r="H90" i="2"/>
  <c r="K93" i="2" l="1"/>
  <c r="K38" i="2"/>
  <c r="K20" i="2"/>
  <c r="K18" i="2"/>
  <c r="K39" i="2"/>
  <c r="K19" i="2"/>
  <c r="K52" i="2"/>
  <c r="K68" i="2"/>
  <c r="K33" i="2"/>
  <c r="K15" i="2"/>
  <c r="K32" i="2"/>
  <c r="K74" i="2"/>
  <c r="K94" i="2"/>
  <c r="K73" i="2"/>
  <c r="K95" i="2"/>
  <c r="K53" i="2"/>
  <c r="K92" i="2"/>
  <c r="K71" i="2"/>
  <c r="K36" i="2"/>
  <c r="K17" i="2"/>
  <c r="K31" i="2"/>
  <c r="K30" i="2"/>
  <c r="K70" i="2"/>
  <c r="K96" i="2"/>
  <c r="K88" i="2"/>
  <c r="K13" i="2"/>
  <c r="K50" i="2"/>
  <c r="K51" i="2"/>
  <c r="K35" i="2"/>
  <c r="K21" i="2"/>
  <c r="K57" i="2"/>
  <c r="K54" i="2"/>
  <c r="K76" i="2"/>
  <c r="K55" i="2"/>
  <c r="K87" i="2"/>
  <c r="K49" i="2"/>
  <c r="K89" i="2"/>
  <c r="K72" i="2"/>
  <c r="K77" i="2"/>
  <c r="K37" i="2"/>
  <c r="K34" i="2"/>
  <c r="K56" i="2"/>
  <c r="K16" i="2"/>
  <c r="K12" i="2"/>
  <c r="K14" i="2"/>
  <c r="K75" i="2"/>
  <c r="K58" i="2"/>
  <c r="K90" i="2"/>
  <c r="K69" i="2"/>
  <c r="K91" i="2"/>
  <c r="D43" i="2" l="1" a="1"/>
  <c r="D43" i="2" s="1"/>
  <c r="C81" i="2" a="1"/>
  <c r="C81" i="2" s="1"/>
  <c r="B81" i="2" a="1"/>
  <c r="B81" i="2" s="1"/>
  <c r="B43" i="2" a="1"/>
  <c r="B43" i="2" s="1"/>
  <c r="A43" i="2" a="1"/>
  <c r="A43" i="2" s="1"/>
  <c r="A81" i="2" a="1"/>
  <c r="A81" i="2" s="1"/>
  <c r="C43" i="2" a="1"/>
  <c r="C43" i="2" s="1"/>
  <c r="B25" i="2" a="1"/>
  <c r="B25" i="2" s="1"/>
  <c r="A25" i="2" a="1"/>
  <c r="A25" i="2" s="1"/>
  <c r="C25" i="2" a="1"/>
  <c r="C25" i="2" s="1"/>
  <c r="B62" i="2" a="1"/>
  <c r="B62" i="2" s="1"/>
  <c r="A62" i="2" a="1"/>
  <c r="A62" i="2" s="1"/>
  <c r="C62" i="2" a="1"/>
  <c r="C62" i="2" s="1"/>
  <c r="C100" i="2" a="1"/>
  <c r="C100" i="2" s="1"/>
  <c r="A100" i="2" a="1"/>
  <c r="A100" i="2" s="1"/>
  <c r="B100" i="2" a="1"/>
  <c r="B100" i="2" s="1"/>
  <c r="F81" i="2" l="1"/>
  <c r="I3" i="2" s="1"/>
  <c r="F25" i="2"/>
  <c r="A8" i="2" s="1"/>
  <c r="C8" i="2" s="1"/>
  <c r="F43" i="2"/>
  <c r="B8" i="2" s="1"/>
  <c r="F62" i="2"/>
  <c r="J3" i="2" s="1"/>
  <c r="F100" i="2"/>
  <c r="H3" i="2" s="1"/>
  <c r="Q15" i="2" l="1"/>
  <c r="S15" i="2" s="1"/>
  <c r="Q19" i="2"/>
  <c r="S19" i="2" s="1"/>
  <c r="P14" i="2"/>
  <c r="R14" i="2" s="1"/>
  <c r="P18" i="2"/>
  <c r="R18" i="2" s="1"/>
  <c r="D8" i="2"/>
  <c r="G8" i="2" s="1"/>
  <c r="Q16" i="2"/>
  <c r="S16" i="2" s="1"/>
  <c r="Q20" i="2"/>
  <c r="S20" i="2" s="1"/>
  <c r="P15" i="2"/>
  <c r="R15" i="2" s="1"/>
  <c r="P19" i="2"/>
  <c r="R19" i="2" s="1"/>
  <c r="P12" i="2"/>
  <c r="R12" i="2" s="1"/>
  <c r="Q13" i="2"/>
  <c r="S13" i="2" s="1"/>
  <c r="Q17" i="2"/>
  <c r="S17" i="2" s="1"/>
  <c r="Q12" i="2"/>
  <c r="S12" i="2" s="1"/>
  <c r="P16" i="2"/>
  <c r="R16" i="2" s="1"/>
  <c r="P20" i="2"/>
  <c r="R20" i="2" s="1"/>
  <c r="Q14" i="2"/>
  <c r="S14" i="2" s="1"/>
  <c r="Q18" i="2"/>
  <c r="S18" i="2" s="1"/>
  <c r="P13" i="2"/>
  <c r="R13" i="2" s="1"/>
  <c r="P17" i="2"/>
  <c r="R17" i="2" s="1"/>
  <c r="E8" i="2"/>
  <c r="H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<sst xmlns="http://schemas.openxmlformats.org/spreadsheetml/2006/main" count="107" uniqueCount="42">
  <si>
    <t>Средняя температура вещества, C</t>
  </si>
  <si>
    <t xml:space="preserve">Состав дымовых газов, % </t>
  </si>
  <si>
    <t>скорость потока</t>
  </si>
  <si>
    <t>Диаметр трубы, м</t>
  </si>
  <si>
    <t>удельная теплоёмкость</t>
  </si>
  <si>
    <t>плотность вещества</t>
  </si>
  <si>
    <t>коэф теплопровод среды</t>
  </si>
  <si>
    <t>угол атаки Ф, град</t>
  </si>
  <si>
    <t>коэффициент, учитывающий влияние угла атаки,εφ</t>
  </si>
  <si>
    <t>CO2</t>
  </si>
  <si>
    <t>H2O</t>
  </si>
  <si>
    <t>O2</t>
  </si>
  <si>
    <t>N2</t>
  </si>
  <si>
    <t>w</t>
  </si>
  <si>
    <t>l</t>
  </si>
  <si>
    <t>c</t>
  </si>
  <si>
    <t>p</t>
  </si>
  <si>
    <t>lamb</t>
  </si>
  <si>
    <t>Коэффициент кинематической вязкости</t>
  </si>
  <si>
    <r>
      <rPr>
        <sz val="11"/>
        <color theme="1"/>
        <rFont val="Aptos Narrow"/>
        <family val="2"/>
        <charset val="204"/>
      </rPr>
      <t xml:space="preserve">Число Прантля </t>
    </r>
    <r>
      <rPr>
        <b/>
        <sz val="11"/>
        <color theme="1"/>
        <rFont val="Aptos Narrow"/>
        <family val="2"/>
        <charset val="204"/>
      </rPr>
      <t>Pr</t>
    </r>
  </si>
  <si>
    <r>
      <rPr>
        <sz val="11"/>
        <color theme="1"/>
        <rFont val="Aptos Narrow"/>
        <family val="2"/>
        <charset val="204"/>
      </rPr>
      <t>Число Рейнольдса,</t>
    </r>
    <r>
      <rPr>
        <b/>
        <sz val="11"/>
        <color theme="1"/>
        <rFont val="Aptos Narrow"/>
        <family val="2"/>
        <charset val="204"/>
      </rPr>
      <t xml:space="preserve"> Re</t>
    </r>
  </si>
  <si>
    <t>шахматное расположение труб при Re&gt;1000</t>
  </si>
  <si>
    <t>коридорное расположение труб при Re&gt;1000</t>
  </si>
  <si>
    <t>Итог</t>
  </si>
  <si>
    <t>Температура, С</t>
  </si>
  <si>
    <t>Кинематическая вязкость газов, м2/с</t>
  </si>
  <si>
    <t>Мой газ, м2/с</t>
  </si>
  <si>
    <t>Коэффициенты уравнения</t>
  </si>
  <si>
    <t>a</t>
  </si>
  <si>
    <t>b</t>
  </si>
  <si>
    <t>Число Прандтля для газов</t>
  </si>
  <si>
    <t>Мой газ</t>
  </si>
  <si>
    <t>d</t>
  </si>
  <si>
    <r>
      <rPr>
        <sz val="11"/>
        <color theme="1"/>
        <rFont val="Aptos Narrow"/>
        <family val="2"/>
        <charset val="204"/>
      </rPr>
      <t xml:space="preserve">Число Прантля </t>
    </r>
    <r>
      <rPr>
        <b/>
        <sz val="11"/>
        <color theme="1"/>
        <rFont val="Aptos Narrow"/>
        <family val="2"/>
        <charset val="204"/>
      </rPr>
      <t xml:space="preserve">Pr </t>
    </r>
  </si>
  <si>
    <t>Коэфф. теплопроводности газа, Вт/(м*К)</t>
  </si>
  <si>
    <t>Мой газ, Вт/(м*К)</t>
  </si>
  <si>
    <r>
      <rPr>
        <sz val="11"/>
        <color theme="1"/>
        <rFont val="Aptos Narrow"/>
        <family val="2"/>
        <charset val="204"/>
      </rPr>
      <t xml:space="preserve">Коэф. теплопроводности </t>
    </r>
    <r>
      <rPr>
        <b/>
        <sz val="11"/>
        <color theme="1"/>
        <rFont val="Aptos Narrow"/>
        <family val="2"/>
        <charset val="204"/>
      </rPr>
      <t>лямбда</t>
    </r>
  </si>
  <si>
    <t>Плотность газов, кг/м^2</t>
  </si>
  <si>
    <t>Плотность газа, кг/м^2</t>
  </si>
  <si>
    <t>Средняя объемная теплоемкость газов, кДж/(м^3*К)</t>
  </si>
  <si>
    <t>Объемная теплоемкость газа, кДж/(м^3*К)</t>
  </si>
  <si>
    <t>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</si>
</sst>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0"/>
  </numFmts>
  <fonts count="8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FFFFFF"/>
      <name val="Roboto"/>
      <charset val="204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  <charset val="204"/>
    </font>
    <font>
      <b/>
      <sz val="11"/>
      <color theme="1"/>
      <name val="Aptos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11" fontId="0" fillId="0" borderId="5" xfId="0" applyNumberFormat="1" applyBorder="1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11" fontId="0" fillId="0" borderId="23" xfId="0" applyNumberFormat="1" applyBorder="1" applyAlignment="1">
      <alignment vertical="center"/>
    </xf>
    <xf numFmtId="11" fontId="0" fillId="0" borderId="24" xfId="0" applyNumberFormat="1" applyBorder="1" applyAlignment="1">
      <alignment vertical="center"/>
    </xf>
    <xf numFmtId="11" fontId="0" fillId="0" borderId="25" xfId="0" applyNumberFormat="1" applyBorder="1" applyAlignment="1">
      <alignment vertical="center"/>
    </xf>
    <xf numFmtId="0" fontId="0" fillId="0" borderId="23" xfId="0" applyBorder="1" applyAlignment="1">
      <alignment vertical="center"/>
    </xf>
    <xf numFmtId="11" fontId="0" fillId="0" borderId="26" xfId="0" applyNumberFormat="1" applyBorder="1" applyAlignment="1">
      <alignment vertical="center"/>
    </xf>
    <xf numFmtId="0" fontId="0" fillId="0" borderId="27" xfId="0" applyBorder="1" applyAlignment="1">
      <alignment vertical="center"/>
    </xf>
    <xf numFmtId="11" fontId="0" fillId="0" borderId="28" xfId="0" applyNumberFormat="1" applyBorder="1" applyAlignment="1">
      <alignment vertical="center"/>
    </xf>
    <xf numFmtId="11" fontId="0" fillId="0" borderId="29" xfId="0" applyNumberFormat="1" applyBorder="1" applyAlignment="1">
      <alignment vertical="center"/>
    </xf>
    <xf numFmtId="11" fontId="0" fillId="0" borderId="30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11" fontId="0" fillId="0" borderId="32" xfId="0" applyNumberFormat="1" applyBorder="1" applyAlignment="1">
      <alignment vertical="center"/>
    </xf>
    <xf numFmtId="11" fontId="0" fillId="0" borderId="33" xfId="0" applyNumberFormat="1" applyBorder="1" applyAlignment="1">
      <alignment vertical="center"/>
    </xf>
    <xf numFmtId="11" fontId="0" fillId="0" borderId="34" xfId="0" applyNumberFormat="1" applyBorder="1" applyAlignment="1">
      <alignment vertical="center"/>
    </xf>
    <xf numFmtId="11" fontId="0" fillId="0" borderId="35" xfId="0" applyNumberForma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11" fontId="0" fillId="0" borderId="0" xfId="0" applyNumberFormat="1"/>
    <xf numFmtId="0" fontId="5" fillId="0" borderId="2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50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0" fillId="3" borderId="35" xfId="0" applyNumberForma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/>
    <xf numFmtId="0" fontId="2" fillId="6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0" fillId="7" borderId="5" xfId="0" applyFill="1" applyBorder="1"/>
    <xf numFmtId="11" fontId="0" fillId="8" borderId="5" xfId="0" applyNumberFormat="1" applyFill="1" applyBorder="1" applyAlignment="1">
      <alignment horizontal="center" vertical="center"/>
    </xf>
    <xf numFmtId="0" fontId="0" fillId="8" borderId="5" xfId="0" applyFill="1" applyBorder="1"/>
    <xf numFmtId="164" fontId="0" fillId="8" borderId="5" xfId="0" applyNumberFormat="1" applyFill="1" applyBorder="1" applyAlignment="1">
      <alignment horizontal="center" vertical="center"/>
    </xf>
    <xf numFmtId="165" fontId="0" fillId="8" borderId="5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5" fontId="0" fillId="8" borderId="35" xfId="0" applyNumberForma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11" fontId="0" fillId="5" borderId="32" xfId="0" applyNumberForma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11" fontId="0" fillId="5" borderId="31" xfId="0" applyNumberFormat="1" applyFill="1" applyBorder="1" applyAlignment="1">
      <alignment horizontal="center" vertical="center"/>
    </xf>
    <xf numFmtId="11" fontId="0" fillId="5" borderId="53" xfId="0" applyNumberFormat="1" applyFill="1" applyBorder="1" applyAlignment="1">
      <alignment horizontal="center" vertical="center"/>
    </xf>
    <xf numFmtId="11" fontId="0" fillId="5" borderId="54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Кинематическая вязкость газа, м2/с</a:t>
            </a:r>
          </a:p>
        </c:rich>
      </c:tx>
      <c:layout>
        <c:manualLayout>
          <c:xMode val="edge"/>
          <c:yMode val="edge"/>
          <c:x val="0.25348277914154732"/>
          <c:y val="3.2407395593687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22978072295892"/>
          <c:y val="0.16245370370370371"/>
          <c:w val="0.83005485808227575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Лист2!$A$12:$A$21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Лист2!$K$12:$K$21</c:f>
              <c:numCache>
                <c:formatCode>0.00E+00</c:formatCode>
                <c:ptCount val="10"/>
                <c:pt idx="0">
                  <c:v>2.0948E-5</c:v>
                </c:pt>
                <c:pt idx="1">
                  <c:v>3.1482000000000001E-5</c:v>
                </c:pt>
                <c:pt idx="2">
                  <c:v>4.3959000000000004E-5</c:v>
                </c:pt>
                <c:pt idx="3">
                  <c:v>5.7715000000000006E-5</c:v>
                </c:pt>
                <c:pt idx="4">
                  <c:v>7.2508000000000004E-5</c:v>
                </c:pt>
                <c:pt idx="5">
                  <c:v>8.8374999999999993E-5</c:v>
                </c:pt>
                <c:pt idx="6">
                  <c:v>1.0552099999999999E-4</c:v>
                </c:pt>
                <c:pt idx="7">
                  <c:v>1.2369899999999998E-4</c:v>
                </c:pt>
                <c:pt idx="8">
                  <c:v>1.4275599999999999E-4</c:v>
                </c:pt>
                <c:pt idx="9">
                  <c:v>1.6251899999999999E-4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3-4CA0-B37A-752D61965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68728"/>
        <c:axId val="593766568"/>
      </c:scatterChart>
      <c:valAx>
        <c:axId val="59376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766568"/>
        <c:crosses val="autoZero"/>
        <c:crossBetween val="midCat"/>
      </c:valAx>
      <c:valAx>
        <c:axId val="59376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3768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Число Прандтля от температуры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27C1-452E-A287-3E2C2E89ECC2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Лист2!$A$30:$A$39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Лист2!$K$30:$K$39</c:f>
              <c:numCache>
                <c:formatCode>General</c:formatCode>
                <c:ptCount val="10"/>
                <c:pt idx="0">
                  <c:v>0.70665</c:v>
                </c:pt>
                <c:pt idx="1">
                  <c:v>0.6915</c:v>
                </c:pt>
                <c:pt idx="2">
                  <c:v>0.69382999999999995</c:v>
                </c:pt>
                <c:pt idx="3">
                  <c:v>0.69298999999999999</c:v>
                </c:pt>
                <c:pt idx="4">
                  <c:v>0.68101000000000012</c:v>
                </c:pt>
                <c:pt idx="5">
                  <c:v>0.68459000000000003</c:v>
                </c:pt>
                <c:pt idx="6">
                  <c:v>0.69125000000000003</c:v>
                </c:pt>
                <c:pt idx="7">
                  <c:v>0.70466999999999991</c:v>
                </c:pt>
                <c:pt idx="8">
                  <c:v>0.71850000000000003</c:v>
                </c:pt>
                <c:pt idx="9">
                  <c:v>0.73038000000000003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C1-452E-A287-3E2C2E89E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69616"/>
        <c:axId val="728071776"/>
      </c:scatterChart>
      <c:valAx>
        <c:axId val="7280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0"/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8071776"/>
        <c:crosses val="autoZero"/>
        <c:crossBetween val="midCat"/>
      </c:valAx>
      <c:valAx>
        <c:axId val="7280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806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Коэфф. теплопроводности газа, Вт/(м*К)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Коэфф. теплопроводности газа, Вт/(м*К)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Лист2!$A$49:$A$58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Лист2!$K$49:$K$58</c:f>
              <c:numCache>
                <c:formatCode>General</c:formatCode>
                <c:ptCount val="10"/>
                <c:pt idx="0">
                  <c:v>3.0279999999999994E-2</c:v>
                </c:pt>
                <c:pt idx="1">
                  <c:v>3.7723000000000007E-2</c:v>
                </c:pt>
                <c:pt idx="2">
                  <c:v>4.4791999999999998E-2</c:v>
                </c:pt>
                <c:pt idx="3">
                  <c:v>5.1623999999999996E-2</c:v>
                </c:pt>
                <c:pt idx="4">
                  <c:v>5.8061000000000008E-2</c:v>
                </c:pt>
                <c:pt idx="5">
                  <c:v>6.4233999999999999E-2</c:v>
                </c:pt>
                <c:pt idx="6">
                  <c:v>6.9654999999999995E-2</c:v>
                </c:pt>
                <c:pt idx="7">
                  <c:v>7.4975E-2</c:v>
                </c:pt>
                <c:pt idx="8">
                  <c:v>7.9905000000000004E-2</c:v>
                </c:pt>
                <c:pt idx="9">
                  <c:v>8.4524000000000002E-2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F7-4F0F-98D7-BBC4E068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68079"/>
        <c:axId val="840285551"/>
      </c:scatterChart>
      <c:valAx>
        <c:axId val="84026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285551"/>
        <c:crosses val="autoZero"/>
        <c:crossBetween val="midCat"/>
      </c:valAx>
      <c:valAx>
        <c:axId val="8402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2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Плотность газа, кг/м^2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6584999306029802E-2"/>
                  <c:y val="-0.28672699717435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Лист2!$A$68:$A$77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Лист2!$K$68:$K$77</c:f>
              <c:numCache>
                <c:formatCode>General</c:formatCode>
                <c:ptCount val="10"/>
                <c:pt idx="0">
                  <c:v>0.99094800000000005</c:v>
                </c:pt>
                <c:pt idx="1">
                  <c:v>0.78120299999999998</c:v>
                </c:pt>
                <c:pt idx="2">
                  <c:v>0.64478400000000002</c:v>
                </c:pt>
                <c:pt idx="3">
                  <c:v>0.54895500000000008</c:v>
                </c:pt>
                <c:pt idx="4">
                  <c:v>0.47796099999999997</c:v>
                </c:pt>
                <c:pt idx="5">
                  <c:v>0.42350599999999999</c:v>
                </c:pt>
                <c:pt idx="6">
                  <c:v>0.37992100000000001</c:v>
                </c:pt>
                <c:pt idx="7">
                  <c:v>0.34495700000000001</c:v>
                </c:pt>
                <c:pt idx="8">
                  <c:v>0.31551099999999999</c:v>
                </c:pt>
                <c:pt idx="9">
                  <c:v>0.29069200000000001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F-477A-8D32-F12512CBA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68079"/>
        <c:axId val="840285551"/>
      </c:scatterChart>
      <c:valAx>
        <c:axId val="84026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285551"/>
        <c:crosses val="autoZero"/>
        <c:crossBetween val="midCat"/>
      </c:valAx>
      <c:valAx>
        <c:axId val="8402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2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объемная теплоемкость газа, кДж/(м^3*К)</a:t>
            </a:r>
          </a:p>
        </c:rich>
      </c:tx>
      <c:layout>
        <c:manualLayout>
          <c:xMode val="edge"/>
          <c:yMode val="edge"/>
          <c:x val="0.10376404302496772"/>
          <c:y val="5.3049632355035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600068232176565"/>
                  <c:y val="-4.86560443353663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Лист2!$A$87:$A$96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Лист2!$K$87:$K$96</c:f>
              <c:numCache>
                <c:formatCode>General</c:formatCode>
                <c:ptCount val="10"/>
                <c:pt idx="0">
                  <c:v>1.3914550000000001</c:v>
                </c:pt>
                <c:pt idx="1">
                  <c:v>1.4235469999999999</c:v>
                </c:pt>
                <c:pt idx="2">
                  <c:v>1.4529939999999999</c:v>
                </c:pt>
                <c:pt idx="3">
                  <c:v>1.4814919999999998</c:v>
                </c:pt>
                <c:pt idx="4">
                  <c:v>1.5103289999999998</c:v>
                </c:pt>
                <c:pt idx="5">
                  <c:v>1.532867</c:v>
                </c:pt>
                <c:pt idx="6">
                  <c:v>1.5558800000000002</c:v>
                </c:pt>
                <c:pt idx="7">
                  <c:v>1.57653</c:v>
                </c:pt>
                <c:pt idx="8">
                  <c:v>1.5957080000000001</c:v>
                </c:pt>
                <c:pt idx="9">
                  <c:v>1.6130760000000002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8-4413-A3B0-BC0057B1F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68079"/>
        <c:axId val="840285551"/>
      </c:scatterChart>
      <c:valAx>
        <c:axId val="84026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285551"/>
        <c:crosses val="autoZero"/>
        <c:crossBetween val="midCat"/>
      </c:valAx>
      <c:valAx>
        <c:axId val="8402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2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285748</xdr:colOff>
      <xdr:row>9</xdr:row>
      <xdr:rowOff>1121</xdr:rowOff>
    </xdr:from>
    <xdr:to>
      <xdr:col>19</xdr:col>
      <xdr:colOff>16806</xdr:colOff>
      <xdr:row>22</xdr:row>
      <xdr:rowOff>133351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F982F6D-15B8-8F06-5D5E-9348AC3EE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184896</xdr:colOff>
      <xdr:row>27</xdr:row>
      <xdr:rowOff>12326</xdr:rowOff>
    </xdr:from>
    <xdr:to>
      <xdr:col>18</xdr:col>
      <xdr:colOff>521072</xdr:colOff>
      <xdr:row>40</xdr:row>
      <xdr:rowOff>144555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EC94304-DE8E-6043-5294-8A3EA4854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192741</xdr:colOff>
      <xdr:row>14</xdr:row>
      <xdr:rowOff>63874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E6AB3E-AEB7-F694-FD49-C08948F35154}"/>
            </a:ext>
          </a:extLst>
        </xdr:cNvPr>
        <xdr:cNvSpPr txBox="1"/>
      </xdr:nvSpPr>
      <xdr:spPr>
        <a:xfrm>
          <a:off x="8059270" y="375060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11</xdr:col>
      <xdr:colOff>403411</xdr:colOff>
      <xdr:row>46</xdr:row>
      <xdr:rowOff>11205</xdr:rowOff>
    </xdr:from>
    <xdr:to>
      <xdr:col>18</xdr:col>
      <xdr:colOff>224117</xdr:colOff>
      <xdr:row>59</xdr:row>
      <xdr:rowOff>33618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EB60E14-9115-4BF9-B0D3-8A287421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414617</xdr:colOff>
      <xdr:row>65</xdr:row>
      <xdr:rowOff>11206</xdr:rowOff>
    </xdr:from>
    <xdr:to>
      <xdr:col>18</xdr:col>
      <xdr:colOff>235323</xdr:colOff>
      <xdr:row>78</xdr:row>
      <xdr:rowOff>33618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C1B0922-7BD1-4A29-8E3E-B3E3664BB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459441</xdr:colOff>
      <xdr:row>82</xdr:row>
      <xdr:rowOff>134471</xdr:rowOff>
    </xdr:from>
    <xdr:to>
      <xdr:col>18</xdr:col>
      <xdr:colOff>280147</xdr:colOff>
      <xdr:row>95</xdr:row>
      <xdr:rowOff>156883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6452FED-762D-4FFF-B195-930180043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13</xdr:col>
      <xdr:colOff>192741</xdr:colOff>
      <xdr:row>18</xdr:row>
      <xdr:rowOff>63874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1CCA418-9588-4F77-93BF-109499C533CF}"/>
            </a:ext>
          </a:extLst>
        </xdr:cNvPr>
        <xdr:cNvSpPr txBox="1"/>
      </xdr:nvSpPr>
      <xdr:spPr>
        <a:xfrm>
          <a:off x="11196917" y="38402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9C90-F4E0-45B2-87AA-F4DDEFC69052}">
  <dimension ref="A1:Y100"/>
  <sheetViews>
    <sheetView tabSelected="1" zoomScale="85" zoomScaleNormal="85" workbookViewId="0">
      <selection activeCell="B4" sqref="B4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6" customWidth="1"/>
    <col min="4" max="4" width="13.28515625" customWidth="1"/>
    <col min="5" max="5" width="13.5703125" customWidth="1"/>
    <col min="6" max="6" width="13" bestFit="1" customWidth="1"/>
    <col min="7" max="7" width="12.7109375" bestFit="1" customWidth="1"/>
    <col min="8" max="9" width="12.28515625" bestFit="1" customWidth="1"/>
    <col min="10" max="10" width="9.140625" customWidth="1"/>
    <col min="11" max="11" width="15" customWidth="1"/>
    <col min="12" max="12" width="13.42578125" customWidth="1"/>
    <col min="13" max="13" width="9.140625" customWidth="1"/>
    <col min="14" max="14" width="11.28515625" bestFit="1" customWidth="1"/>
    <col min="15" max="15" width="13.42578125" customWidth="1"/>
    <col min="16" max="16" width="13.28515625" customWidth="1"/>
    <col min="17" max="22" width="9.140625" customWidth="1"/>
    <col min="23" max="23" width="14.28515625" customWidth="1"/>
    <col min="24" max="24" width="12.28515625" customWidth="1"/>
    <col min="25" max="25" width="10.5703125" bestFit="1" customWidth="1"/>
    <col min="26" max="29" width="9.140625" customWidth="1"/>
    <col min="30" max="30" width="12.28515625" bestFit="1" customWidth="1"/>
  </cols>
  <sheetData>
    <row r="1" spans="1:25" ht="75" customHeight="1" x14ac:dyDescent="0.25">
      <c r="A1" s="114" t="s">
        <v>0</v>
      </c>
      <c r="B1" s="114" t="s">
        <v>1</v>
      </c>
      <c r="C1" s="114"/>
      <c r="D1" s="114"/>
      <c r="E1" s="114"/>
      <c r="F1" s="115" t="s">
        <v>2</v>
      </c>
      <c r="G1" s="115" t="s">
        <v>3</v>
      </c>
      <c r="H1" s="126" t="s">
        <v>4</v>
      </c>
      <c r="I1" s="132" t="s">
        <v>5</v>
      </c>
      <c r="J1" s="126" t="s">
        <v>6</v>
      </c>
      <c r="K1" s="115" t="s">
        <v>7</v>
      </c>
      <c r="M1" s="128" t="s">
        <v>8</v>
      </c>
      <c r="T1" s="1"/>
      <c r="U1" s="1"/>
      <c r="V1" s="67"/>
      <c r="W1" s="67"/>
    </row>
    <row r="2" spans="1:25" x14ac:dyDescent="0.25">
      <c r="A2" s="114"/>
      <c r="B2" s="72" t="s">
        <v>9</v>
      </c>
      <c r="C2" s="73" t="s">
        <v>10</v>
      </c>
      <c r="D2" s="73" t="s">
        <v>11</v>
      </c>
      <c r="E2" s="73" t="s">
        <v>12</v>
      </c>
      <c r="F2" s="115"/>
      <c r="G2" s="115"/>
      <c r="H2" s="127"/>
      <c r="I2" s="133"/>
      <c r="J2" s="127"/>
      <c r="K2" s="115"/>
      <c r="M2" s="128"/>
      <c r="T2" s="1"/>
      <c r="U2" s="1"/>
      <c r="V2" s="67"/>
      <c r="W2" s="67"/>
    </row>
    <row r="3" spans="1:25" x14ac:dyDescent="0.25">
      <c r="A3" s="74">
        <v>500</v>
      </c>
      <c r="B3" s="75">
        <v>21</v>
      </c>
      <c r="C3" s="75">
        <v>0</v>
      </c>
      <c r="D3" s="75">
        <v>58</v>
      </c>
      <c r="E3" s="75">
        <v>21</v>
      </c>
      <c r="F3" s="74">
        <v>10</v>
      </c>
      <c r="G3" s="74" t="s">
        <v>41</v>
      </c>
      <c r="H3" s="77">
        <f>F100</f>
        <v>1.5086125939393935</v>
      </c>
      <c r="I3" s="77">
        <f>F81</f>
        <v>0.479275709090909</v>
      </c>
      <c r="J3" s="77">
        <f>F62</f>
        <v>5.8039084848484856E-2</v>
      </c>
      <c r="K3" s="76">
        <v>90</v>
      </c>
      <c r="M3" s="78">
        <f>IF(K3=90,1,IF(K3=80,1,IF(K3=70,0.98,IF(K3=60,0.94,IF(K3=50,0.88,IF(K3=40,0.78,IF(K3=30,0.67,IF(K3=20,0.52,IF(K3=10,0.42,0)))))))))</f>
        <v>1</v>
      </c>
      <c r="S3" s="1"/>
      <c r="T3" s="1"/>
      <c r="U3" s="1"/>
      <c r="V3" s="66"/>
    </row>
    <row r="4" spans="1:25" ht="15.75" customHeight="1" thickBot="1" x14ac:dyDescent="0.3">
      <c r="A4" s="1"/>
      <c r="B4" s="1"/>
      <c r="C4" s="1"/>
      <c r="D4" s="1"/>
      <c r="E4" s="1"/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66"/>
      <c r="W4" s="1"/>
    </row>
    <row r="5" spans="1:25" ht="35.25" customHeight="1" x14ac:dyDescent="0.25">
      <c r="A5" s="116" t="s">
        <v>18</v>
      </c>
      <c r="B5" s="117" t="s">
        <v>19</v>
      </c>
      <c r="C5" s="120" t="s">
        <v>20</v>
      </c>
      <c r="D5" s="123" t="s">
        <v>21</v>
      </c>
      <c r="E5" s="123" t="s">
        <v>22</v>
      </c>
      <c r="F5" s="96"/>
      <c r="G5" s="129" t="s">
        <v>23</v>
      </c>
      <c r="H5" s="129" t="s">
        <v>23</v>
      </c>
      <c r="I5" s="6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5" x14ac:dyDescent="0.25">
      <c r="A6" s="116"/>
      <c r="B6" s="118"/>
      <c r="C6" s="121"/>
      <c r="D6" s="124"/>
      <c r="E6" s="124"/>
      <c r="F6" s="96"/>
      <c r="G6" s="130"/>
      <c r="H6" s="130"/>
      <c r="I6" s="6"/>
      <c r="K6" s="1"/>
      <c r="L6" s="1"/>
      <c r="M6" s="10"/>
      <c r="N6" s="10"/>
      <c r="O6" s="1"/>
      <c r="P6" s="1"/>
      <c r="Q6" s="1"/>
      <c r="R6" s="1"/>
      <c r="S6" s="1"/>
      <c r="T6" s="1"/>
      <c r="U6" s="1"/>
    </row>
    <row r="7" spans="1:25" x14ac:dyDescent="0.25">
      <c r="A7" s="116"/>
      <c r="B7" s="119"/>
      <c r="C7" s="122"/>
      <c r="D7" s="125"/>
      <c r="E7" s="125"/>
      <c r="F7" s="96"/>
      <c r="G7" s="131"/>
      <c r="H7" s="131"/>
      <c r="I7" s="6"/>
    </row>
    <row r="8" spans="1:25" ht="15.75" customHeight="1" thickBot="1" x14ac:dyDescent="0.3">
      <c r="A8" s="79">
        <f>F25</f>
        <v>7.2539587878787877E-5</v>
      </c>
      <c r="B8" s="80">
        <f>F43</f>
        <v>0.68552113752913768</v>
      </c>
      <c r="C8" s="81">
        <f>F3*G3/A8</f>
        <v>13785.575976403105</v>
      </c>
      <c r="D8" s="82">
        <f>IF($C$8&gt;1000,0.4*M3*C8^0.6*B8^0.36,0.56*M3*C8^0.5*B8^0.36)</f>
        <v>106.33652093225422</v>
      </c>
      <c r="E8" s="82">
        <f>IF(C8&gt;1000,0.22*M3*C8^0.65*B8^0.36,0.56*M3*C8^0.5*B8^0.36)</f>
        <v>94.192512718244089</v>
      </c>
      <c r="F8" s="70"/>
      <c r="G8" s="68">
        <f>D8*$J$3/$G$3</f>
        <v>61.716743608797884</v>
      </c>
      <c r="H8" s="68">
        <f>E8*$J$3/$G$3</f>
        <v>54.668472377461569</v>
      </c>
      <c r="I8" s="6"/>
    </row>
    <row r="9" spans="1:25" ht="15.75" customHeight="1" thickBo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Y9" s="56"/>
    </row>
    <row r="10" spans="1:25" ht="15.75" customHeight="1" thickBot="1" x14ac:dyDescent="0.3">
      <c r="A10" s="3" t="s">
        <v>24</v>
      </c>
      <c r="B10" s="108" t="s">
        <v>25</v>
      </c>
      <c r="C10" s="109"/>
      <c r="D10" s="109"/>
      <c r="E10" s="110"/>
      <c r="F10" s="6"/>
      <c r="G10" s="12" t="s">
        <v>9</v>
      </c>
      <c r="H10" s="13" t="s">
        <v>10</v>
      </c>
      <c r="I10" s="13" t="s">
        <v>11</v>
      </c>
      <c r="J10" s="14" t="s">
        <v>12</v>
      </c>
      <c r="K10" s="6"/>
    </row>
    <row r="11" spans="1:25" ht="15.75" customHeight="1" thickBot="1" x14ac:dyDescent="0.3">
      <c r="A11" s="4"/>
      <c r="B11" s="15" t="s">
        <v>9</v>
      </c>
      <c r="C11" s="16" t="s">
        <v>10</v>
      </c>
      <c r="D11" s="16" t="s">
        <v>11</v>
      </c>
      <c r="E11" s="17" t="s">
        <v>12</v>
      </c>
      <c r="F11" s="6"/>
      <c r="G11" s="18">
        <f>B3</f>
        <v>21</v>
      </c>
      <c r="H11" s="19">
        <f>C3</f>
        <v>0</v>
      </c>
      <c r="I11" s="19">
        <f>D3</f>
        <v>58</v>
      </c>
      <c r="J11" s="20">
        <f>E3</f>
        <v>21</v>
      </c>
      <c r="K11" s="21" t="s">
        <v>26</v>
      </c>
    </row>
    <row r="12" spans="1:25" ht="15.75" customHeight="1" thickBot="1" x14ac:dyDescent="0.3">
      <c r="A12" s="22">
        <v>100</v>
      </c>
      <c r="B12" s="23">
        <f>12.6*0.000001</f>
        <v>1.26E-5</v>
      </c>
      <c r="C12" s="24">
        <f>20.9*0.000001</f>
        <v>2.0899999999999996E-5</v>
      </c>
      <c r="D12" s="24">
        <f>23.3*0.000001</f>
        <v>2.3300000000000001E-5</v>
      </c>
      <c r="E12" s="25">
        <f>22.8*0.000001</f>
        <v>2.2799999999999999E-5</v>
      </c>
      <c r="F12" s="6"/>
      <c r="G12" s="26">
        <f t="shared" ref="G12:G21" si="0">$G$11*B12/100</f>
        <v>2.6459999999999997E-6</v>
      </c>
      <c r="H12" s="24">
        <f t="shared" ref="H12:H21" si="1">$H$11*C12/100</f>
        <v>0</v>
      </c>
      <c r="I12" s="24">
        <f t="shared" ref="I12:I21" si="2">$I$11*D12/100</f>
        <v>1.3514E-5</v>
      </c>
      <c r="J12" s="25">
        <f t="shared" ref="J12:J21" si="3">$J$11*E12/100</f>
        <v>4.7879999999999997E-6</v>
      </c>
      <c r="K12" s="27">
        <f t="shared" ref="K12:K21" si="4">SUM(G12:J12)</f>
        <v>2.0948E-5</v>
      </c>
      <c r="N12">
        <v>10</v>
      </c>
      <c r="O12">
        <f>IF(N12=90,1,IF(N12=80,1,IF(N12=70,0.98,IF(N12=60,0.94,IF(N12=50,0.88,IF(N12=40,0.78,IF(N12=30,0.67,IF(N12=20,0.52,IF(N12=10,0.42,0)))))))))</f>
        <v>0.42</v>
      </c>
      <c r="P12">
        <f>IF($C$8&gt;1000,0.4*O12*$C$8^0.6*$B$8^0.36,0.56*O12*$C$8^0.5*$B$8^0.36)</f>
        <v>44.661338791546775</v>
      </c>
      <c r="Q12">
        <f>IF($C$8&gt;1000,0.22*O12*$C$8^0.65*$B$8^0.36,0.56*O12*$C$8^0.5*$B$8^0.36)</f>
        <v>39.560855341662517</v>
      </c>
      <c r="R12" s="71">
        <f>P12*$J$3/$G$3</f>
        <v>25.921032315695111</v>
      </c>
      <c r="S12" s="71">
        <f>Q12*$J$3/$G$3</f>
        <v>22.960758398533859</v>
      </c>
    </row>
    <row r="13" spans="1:25" ht="15.75" customHeight="1" thickBot="1" x14ac:dyDescent="0.3">
      <c r="A13" s="28">
        <v>200</v>
      </c>
      <c r="B13" s="29">
        <f>19.7*0.000001</f>
        <v>1.9699999999999998E-5</v>
      </c>
      <c r="C13" s="8">
        <f>35.6*0.000001</f>
        <v>3.5599999999999998E-5</v>
      </c>
      <c r="D13" s="8">
        <f>34.8*0.000001</f>
        <v>3.4799999999999999E-5</v>
      </c>
      <c r="E13" s="30">
        <f>34.1*0.000001</f>
        <v>3.4100000000000002E-5</v>
      </c>
      <c r="F13" s="6"/>
      <c r="G13" s="26">
        <f t="shared" si="0"/>
        <v>4.1369999999999995E-6</v>
      </c>
      <c r="H13" s="8">
        <f t="shared" si="1"/>
        <v>0</v>
      </c>
      <c r="I13" s="8">
        <f t="shared" si="2"/>
        <v>2.0184000000000002E-5</v>
      </c>
      <c r="J13" s="30">
        <f t="shared" si="3"/>
        <v>7.1609999999999997E-6</v>
      </c>
      <c r="K13" s="31">
        <f t="shared" si="4"/>
        <v>3.1482000000000001E-5</v>
      </c>
      <c r="N13">
        <v>20</v>
      </c>
      <c r="O13">
        <f t="shared" ref="O13:O20" si="5">IF(N13=90,1,IF(N13=80,1,IF(N13=70,0.98,IF(N13=60,0.94,IF(N13=50,0.88,IF(N13=40,0.78,IF(N13=30,0.67,IF(N13=20,0.52,IF(N13=10,0.42,0)))))))))</f>
        <v>0.52</v>
      </c>
      <c r="P13">
        <f t="shared" ref="P13:P20" si="6">IF($C$8&gt;1000,0.4*O13*$C$8^0.6*$B$8^0.36,0.56*O13*$C$8^0.5*$B$8^0.36)</f>
        <v>55.294990884772197</v>
      </c>
      <c r="Q13">
        <f t="shared" ref="Q13:Q20" si="7">IF($C$8&gt;1000,0.22*O13*$C$8^0.65*$B$8^0.36,0.56*O13*$C$8^0.5*$B$8^0.36)</f>
        <v>48.980106613486932</v>
      </c>
      <c r="R13" s="71">
        <f t="shared" ref="R13:R20" si="8">P13*$J$3/$G$3</f>
        <v>32.092706676574899</v>
      </c>
      <c r="S13" s="71">
        <f t="shared" ref="S13:S20" si="9">Q13*$J$3/$G$3</f>
        <v>28.42760563628002</v>
      </c>
    </row>
    <row r="14" spans="1:25" ht="15.75" customHeight="1" x14ac:dyDescent="0.25">
      <c r="A14" s="28">
        <v>300</v>
      </c>
      <c r="B14" s="29">
        <f>28.1*0.000001</f>
        <v>2.8099999999999999E-5</v>
      </c>
      <c r="C14" s="8">
        <f>53.1*0.000001</f>
        <v>5.3099999999999996E-5</v>
      </c>
      <c r="D14" s="8">
        <f>48.6*0.000001</f>
        <v>4.8600000000000002E-5</v>
      </c>
      <c r="E14" s="30">
        <f>47*0.000001</f>
        <v>4.6999999999999997E-5</v>
      </c>
      <c r="F14" s="6"/>
      <c r="G14" s="26">
        <f t="shared" si="0"/>
        <v>5.9009999999999999E-6</v>
      </c>
      <c r="H14" s="8">
        <f t="shared" si="1"/>
        <v>0</v>
      </c>
      <c r="I14" s="8">
        <f t="shared" si="2"/>
        <v>2.8188000000000002E-5</v>
      </c>
      <c r="J14" s="30">
        <f t="shared" si="3"/>
        <v>9.8700000000000004E-6</v>
      </c>
      <c r="K14" s="31">
        <f t="shared" si="4"/>
        <v>4.3959000000000004E-5</v>
      </c>
      <c r="N14">
        <v>30</v>
      </c>
      <c r="O14">
        <f t="shared" si="5"/>
        <v>0.67</v>
      </c>
      <c r="P14">
        <f t="shared" si="6"/>
        <v>71.24546902461033</v>
      </c>
      <c r="Q14">
        <f t="shared" si="7"/>
        <v>63.108983521223543</v>
      </c>
      <c r="R14" s="71">
        <f t="shared" si="8"/>
        <v>41.350218217894586</v>
      </c>
      <c r="S14" s="71">
        <f t="shared" si="9"/>
        <v>36.627876492899254</v>
      </c>
    </row>
    <row r="15" spans="1:25" ht="15.75" customHeight="1" x14ac:dyDescent="0.25">
      <c r="A15" s="28">
        <v>400</v>
      </c>
      <c r="B15" s="29">
        <f>37.4*0.000001</f>
        <v>3.7399999999999994E-5</v>
      </c>
      <c r="C15" s="8">
        <f>76.1*0.000001</f>
        <v>7.6099999999999993E-5</v>
      </c>
      <c r="D15" s="8">
        <f>63.7*0.000001</f>
        <v>6.3700000000000003E-5</v>
      </c>
      <c r="E15" s="30">
        <f>61.5*0.000001</f>
        <v>6.1499999999999991E-5</v>
      </c>
      <c r="F15" s="6"/>
      <c r="G15" s="26">
        <f t="shared" si="0"/>
        <v>7.8539999999999997E-6</v>
      </c>
      <c r="H15" s="8">
        <f t="shared" si="1"/>
        <v>0</v>
      </c>
      <c r="I15" s="8">
        <f t="shared" si="2"/>
        <v>3.6946000000000002E-5</v>
      </c>
      <c r="J15" s="30">
        <f t="shared" si="3"/>
        <v>1.2914999999999999E-5</v>
      </c>
      <c r="K15" s="31">
        <f t="shared" si="4"/>
        <v>5.7715000000000006E-5</v>
      </c>
      <c r="N15">
        <v>40</v>
      </c>
      <c r="O15">
        <f t="shared" si="5"/>
        <v>0.78</v>
      </c>
      <c r="P15">
        <f t="shared" si="6"/>
        <v>82.942486327158306</v>
      </c>
      <c r="Q15">
        <f t="shared" si="7"/>
        <v>73.470159920230387</v>
      </c>
      <c r="R15" s="71">
        <f t="shared" si="8"/>
        <v>48.139060014862359</v>
      </c>
      <c r="S15" s="71">
        <f t="shared" si="9"/>
        <v>42.641408454420024</v>
      </c>
    </row>
    <row r="16" spans="1:25" ht="15.75" customHeight="1" x14ac:dyDescent="0.25">
      <c r="A16" s="28">
        <v>500</v>
      </c>
      <c r="B16" s="29">
        <f>47.6*0.000001</f>
        <v>4.7599999999999998E-5</v>
      </c>
      <c r="C16" s="8">
        <f>101.8*0.000001</f>
        <v>1.0179999999999999E-4</v>
      </c>
      <c r="D16" s="8">
        <f>79.9*0.000001</f>
        <v>7.9900000000000004E-5</v>
      </c>
      <c r="E16" s="30">
        <f>77*0.000001</f>
        <v>7.7000000000000001E-5</v>
      </c>
      <c r="F16" s="6"/>
      <c r="G16" s="26">
        <f t="shared" si="0"/>
        <v>9.9960000000000005E-6</v>
      </c>
      <c r="H16" s="8">
        <f t="shared" si="1"/>
        <v>0</v>
      </c>
      <c r="I16" s="8">
        <f t="shared" si="2"/>
        <v>4.6342000000000005E-5</v>
      </c>
      <c r="J16" s="30">
        <f t="shared" si="3"/>
        <v>1.6169999999999999E-5</v>
      </c>
      <c r="K16" s="31">
        <f t="shared" si="4"/>
        <v>7.2508000000000004E-5</v>
      </c>
      <c r="N16">
        <v>50</v>
      </c>
      <c r="O16">
        <f t="shared" si="5"/>
        <v>0.88</v>
      </c>
      <c r="P16">
        <f t="shared" si="6"/>
        <v>93.576138420383728</v>
      </c>
      <c r="Q16">
        <f t="shared" si="7"/>
        <v>82.889411192054794</v>
      </c>
      <c r="R16" s="71">
        <f t="shared" si="8"/>
        <v>54.310734375742143</v>
      </c>
      <c r="S16" s="71">
        <f t="shared" si="9"/>
        <v>48.108255692166182</v>
      </c>
    </row>
    <row r="17" spans="1:23" ht="15.75" customHeight="1" x14ac:dyDescent="0.25">
      <c r="A17" s="28">
        <v>600</v>
      </c>
      <c r="B17" s="29">
        <f>58.6*0.000001</f>
        <v>5.8600000000000001E-5</v>
      </c>
      <c r="C17" s="8">
        <f>131.3*0.000001</f>
        <v>1.3129999999999999E-4</v>
      </c>
      <c r="D17" s="8">
        <f>97.3*0.000001</f>
        <v>9.7299999999999993E-5</v>
      </c>
      <c r="E17" s="30">
        <f>93.5*0.000001</f>
        <v>9.3499999999999996E-5</v>
      </c>
      <c r="F17" s="6"/>
      <c r="G17" s="26">
        <f t="shared" si="0"/>
        <v>1.2306E-5</v>
      </c>
      <c r="H17" s="8">
        <f t="shared" si="1"/>
        <v>0</v>
      </c>
      <c r="I17" s="8">
        <f t="shared" si="2"/>
        <v>5.6433999999999995E-5</v>
      </c>
      <c r="J17" s="30">
        <f t="shared" si="3"/>
        <v>1.9635000000000001E-5</v>
      </c>
      <c r="K17" s="31">
        <f t="shared" si="4"/>
        <v>8.8374999999999993E-5</v>
      </c>
      <c r="N17">
        <v>60</v>
      </c>
      <c r="O17">
        <f t="shared" si="5"/>
        <v>0.94</v>
      </c>
      <c r="P17">
        <f t="shared" si="6"/>
        <v>99.956329676318973</v>
      </c>
      <c r="Q17">
        <f t="shared" si="7"/>
        <v>88.540961955149442</v>
      </c>
      <c r="R17" s="71">
        <f t="shared" si="8"/>
        <v>58.013738992270021</v>
      </c>
      <c r="S17" s="71">
        <f t="shared" si="9"/>
        <v>51.388364034813883</v>
      </c>
    </row>
    <row r="18" spans="1:23" ht="15.75" customHeight="1" x14ac:dyDescent="0.25">
      <c r="A18" s="28">
        <v>700</v>
      </c>
      <c r="B18" s="29">
        <f>70.4*0.000001</f>
        <v>7.0400000000000004E-5</v>
      </c>
      <c r="C18" s="8">
        <f>164.6*0.000001</f>
        <v>1.6459999999999999E-4</v>
      </c>
      <c r="D18" s="8">
        <f>116*0.000001</f>
        <v>1.16E-4</v>
      </c>
      <c r="E18" s="30">
        <f>111.7*0.000001</f>
        <v>1.1169999999999999E-4</v>
      </c>
      <c r="F18" s="6"/>
      <c r="G18" s="26">
        <f t="shared" si="0"/>
        <v>1.4784000000000001E-5</v>
      </c>
      <c r="H18" s="8">
        <f t="shared" si="1"/>
        <v>0</v>
      </c>
      <c r="I18" s="8">
        <f t="shared" si="2"/>
        <v>6.7279999999999993E-5</v>
      </c>
      <c r="J18" s="30">
        <f t="shared" si="3"/>
        <v>2.3456999999999996E-5</v>
      </c>
      <c r="K18" s="31">
        <f t="shared" si="4"/>
        <v>1.0552099999999999E-4</v>
      </c>
      <c r="N18">
        <v>70</v>
      </c>
      <c r="O18">
        <f t="shared" si="5"/>
        <v>0.98</v>
      </c>
      <c r="P18">
        <f t="shared" si="6"/>
        <v>104.20979051360914</v>
      </c>
      <c r="Q18">
        <f t="shared" si="7"/>
        <v>92.308662463879202</v>
      </c>
      <c r="R18" s="71">
        <f t="shared" si="8"/>
        <v>60.482408736621927</v>
      </c>
      <c r="S18" s="71">
        <f t="shared" si="9"/>
        <v>53.57510292991234</v>
      </c>
    </row>
    <row r="19" spans="1:23" ht="15.75" customHeight="1" x14ac:dyDescent="0.25">
      <c r="A19" s="28">
        <v>800</v>
      </c>
      <c r="B19" s="29">
        <f>83*0.000001</f>
        <v>8.2999999999999998E-5</v>
      </c>
      <c r="C19" s="8">
        <f>C18+0.000035</f>
        <v>1.9959999999999997E-4</v>
      </c>
      <c r="D19" s="8">
        <f>135.9*0.000001</f>
        <v>1.359E-4</v>
      </c>
      <c r="E19" s="30">
        <f>130.7*0.000001</f>
        <v>1.3069999999999998E-4</v>
      </c>
      <c r="F19" s="6"/>
      <c r="G19" s="26">
        <f t="shared" si="0"/>
        <v>1.7430000000000001E-5</v>
      </c>
      <c r="H19" s="8">
        <f t="shared" si="1"/>
        <v>0</v>
      </c>
      <c r="I19" s="8">
        <f t="shared" si="2"/>
        <v>7.8821999999999985E-5</v>
      </c>
      <c r="J19" s="30">
        <f t="shared" si="3"/>
        <v>2.7446999999999997E-5</v>
      </c>
      <c r="K19" s="31">
        <f t="shared" si="4"/>
        <v>1.2369899999999998E-4</v>
      </c>
      <c r="N19">
        <v>80</v>
      </c>
      <c r="O19">
        <f t="shared" si="5"/>
        <v>1</v>
      </c>
      <c r="P19">
        <f t="shared" si="6"/>
        <v>106.33652093225422</v>
      </c>
      <c r="Q19">
        <f t="shared" si="7"/>
        <v>94.192512718244089</v>
      </c>
      <c r="R19" s="71">
        <f t="shared" si="8"/>
        <v>61.716743608797884</v>
      </c>
      <c r="S19" s="71">
        <f t="shared" si="9"/>
        <v>54.668472377461569</v>
      </c>
    </row>
    <row r="20" spans="1:23" ht="15.75" customHeight="1" x14ac:dyDescent="0.25">
      <c r="A20" s="28">
        <v>900</v>
      </c>
      <c r="B20" s="29">
        <f>96.2*0.000001</f>
        <v>9.6199999999999994E-5</v>
      </c>
      <c r="C20" s="8">
        <f>C19+0.000035</f>
        <v>2.3459999999999996E-4</v>
      </c>
      <c r="D20" s="8">
        <f>156.7*0.000001</f>
        <v>1.5669999999999999E-4</v>
      </c>
      <c r="E20" s="30">
        <f>150.8*0.000001</f>
        <v>1.5080000000000001E-4</v>
      </c>
      <c r="F20" s="6"/>
      <c r="G20" s="26">
        <f t="shared" si="0"/>
        <v>2.0201999999999997E-5</v>
      </c>
      <c r="H20" s="8">
        <f t="shared" si="1"/>
        <v>0</v>
      </c>
      <c r="I20" s="8">
        <f t="shared" si="2"/>
        <v>9.0885999999999983E-5</v>
      </c>
      <c r="J20" s="30">
        <f t="shared" si="3"/>
        <v>3.1668000000000002E-5</v>
      </c>
      <c r="K20" s="31">
        <f t="shared" si="4"/>
        <v>1.4275599999999999E-4</v>
      </c>
      <c r="N20">
        <v>90</v>
      </c>
      <c r="O20">
        <f t="shared" si="5"/>
        <v>1</v>
      </c>
      <c r="P20">
        <f t="shared" si="6"/>
        <v>106.33652093225422</v>
      </c>
      <c r="Q20">
        <f t="shared" si="7"/>
        <v>94.192512718244089</v>
      </c>
      <c r="R20" s="71">
        <f t="shared" si="8"/>
        <v>61.716743608797884</v>
      </c>
      <c r="S20" s="71">
        <f t="shared" si="9"/>
        <v>54.668472377461569</v>
      </c>
    </row>
    <row r="21" spans="1:23" ht="15.75" customHeight="1" x14ac:dyDescent="0.25">
      <c r="A21" s="32">
        <v>1000</v>
      </c>
      <c r="B21" s="33">
        <f>109.4*0.000001</f>
        <v>1.094E-4</v>
      </c>
      <c r="C21" s="34">
        <f>C20+0.000035</f>
        <v>2.6959999999999994E-4</v>
      </c>
      <c r="D21" s="34">
        <f>178.5*0.000001</f>
        <v>1.785E-4</v>
      </c>
      <c r="E21" s="35">
        <f>171.5*0.000001</f>
        <v>1.7149999999999999E-4</v>
      </c>
      <c r="F21" s="6"/>
      <c r="G21" s="12">
        <f t="shared" si="0"/>
        <v>2.2974000000000001E-5</v>
      </c>
      <c r="H21" s="34">
        <f t="shared" si="1"/>
        <v>0</v>
      </c>
      <c r="I21" s="34">
        <f t="shared" si="2"/>
        <v>1.0352999999999999E-4</v>
      </c>
      <c r="J21" s="35">
        <f t="shared" si="3"/>
        <v>3.6015E-5</v>
      </c>
      <c r="K21" s="36">
        <f t="shared" si="4"/>
        <v>1.6251899999999999E-4</v>
      </c>
    </row>
    <row r="22" spans="1:2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23" ht="15.75" customHeight="1" x14ac:dyDescent="0.25">
      <c r="A23" s="88" t="s">
        <v>27</v>
      </c>
      <c r="B23" s="88"/>
      <c r="C23" s="88"/>
      <c r="D23" s="1"/>
      <c r="E23" s="6"/>
      <c r="I23" s="6"/>
      <c r="J23" s="6"/>
      <c r="K23" s="6"/>
    </row>
    <row r="24" spans="1:23" x14ac:dyDescent="0.25">
      <c r="A24" s="69" t="s">
        <v>28</v>
      </c>
      <c r="B24" s="69" t="s">
        <v>29</v>
      </c>
      <c r="C24" s="69" t="s">
        <v>15</v>
      </c>
      <c r="D24" s="37"/>
      <c r="E24" s="6"/>
      <c r="F24" s="111" t="s">
        <v>18</v>
      </c>
      <c r="G24" s="112"/>
      <c r="H24" s="113"/>
      <c r="I24" s="9"/>
      <c r="J24" s="6"/>
      <c r="K24" s="6"/>
    </row>
    <row r="25" spans="1:23" ht="15.75" customHeight="1" x14ac:dyDescent="0.25">
      <c r="A25" s="8" cm="1">
        <f t="array" ref="A25">INDEX(LINEST(K12:K21,A12:A21^{1,2}),1,1)</f>
        <v>5.6204545454545418E-11</v>
      </c>
      <c r="B25" s="8" cm="1">
        <f t="array" ref="B25">INDEX(LINEST(K12:K21,A12:A21^{1,2}),1,2)</f>
        <v>9.6419969696969711E-8</v>
      </c>
      <c r="C25" s="8" cm="1">
        <f t="array" ref="C25">INDEX(LINEST(K12:K21,A12:A21^{1,2}),1,3)</f>
        <v>1.0278466666666663E-5</v>
      </c>
      <c r="D25" s="9"/>
      <c r="E25" s="6"/>
      <c r="F25" s="103">
        <f>$A$25*$A$3^2+$B$25*$A$3+$C$25</f>
        <v>7.2539587878787877E-5</v>
      </c>
      <c r="G25" s="104"/>
      <c r="H25" s="105"/>
      <c r="I25" s="9"/>
      <c r="J25" s="9"/>
      <c r="K25" s="9"/>
    </row>
    <row r="26" spans="1:2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23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W27" s="5"/>
    </row>
    <row r="28" spans="1:23" ht="15.75" customHeight="1" x14ac:dyDescent="0.25">
      <c r="A28" s="3" t="s">
        <v>24</v>
      </c>
      <c r="B28" s="108" t="s">
        <v>30</v>
      </c>
      <c r="C28" s="109"/>
      <c r="D28" s="109"/>
      <c r="E28" s="110"/>
      <c r="F28" s="6"/>
      <c r="G28" s="12" t="s">
        <v>9</v>
      </c>
      <c r="H28" s="13" t="s">
        <v>10</v>
      </c>
      <c r="I28" s="13" t="s">
        <v>11</v>
      </c>
      <c r="J28" s="14" t="s">
        <v>12</v>
      </c>
      <c r="K28" s="6"/>
    </row>
    <row r="29" spans="1:23" ht="15.75" customHeight="1" x14ac:dyDescent="0.25">
      <c r="A29" s="4"/>
      <c r="B29" s="38" t="s">
        <v>9</v>
      </c>
      <c r="C29" s="13" t="s">
        <v>10</v>
      </c>
      <c r="D29" s="13" t="s">
        <v>11</v>
      </c>
      <c r="E29" s="14" t="s">
        <v>12</v>
      </c>
      <c r="F29" s="6"/>
      <c r="G29" s="18">
        <f>B3</f>
        <v>21</v>
      </c>
      <c r="H29" s="19">
        <f>C3</f>
        <v>0</v>
      </c>
      <c r="I29" s="19">
        <f>D3</f>
        <v>58</v>
      </c>
      <c r="J29" s="20">
        <f>E3</f>
        <v>21</v>
      </c>
      <c r="K29" s="21" t="s">
        <v>31</v>
      </c>
    </row>
    <row r="30" spans="1:23" ht="15.75" customHeight="1" x14ac:dyDescent="0.25">
      <c r="A30" s="22">
        <v>100</v>
      </c>
      <c r="B30" s="26">
        <v>0.74399999999999999</v>
      </c>
      <c r="C30" s="39">
        <v>1.1299999999999999</v>
      </c>
      <c r="D30" s="39">
        <v>0.69299999999999995</v>
      </c>
      <c r="E30" s="40">
        <v>0.70699999999999996</v>
      </c>
      <c r="F30" s="6"/>
      <c r="G30" s="26">
        <f t="shared" ref="G30:G39" si="10">G$29*B30/100</f>
        <v>0.15624000000000002</v>
      </c>
      <c r="H30" s="26">
        <f t="shared" ref="H30:H39" si="11">H$29*C30/100</f>
        <v>0</v>
      </c>
      <c r="I30" s="26">
        <f t="shared" ref="I30:I39" si="12">I$29*D30/100</f>
        <v>0.40193999999999996</v>
      </c>
      <c r="J30" s="41">
        <f t="shared" ref="J30:J39" si="13">J$29*E30/100</f>
        <v>0.14846999999999999</v>
      </c>
      <c r="K30" s="41">
        <f t="shared" ref="K30:K39" si="14">SUM(G30:J30)</f>
        <v>0.70665</v>
      </c>
    </row>
    <row r="31" spans="1:23" ht="15.75" customHeight="1" x14ac:dyDescent="0.25">
      <c r="A31" s="28">
        <v>200</v>
      </c>
      <c r="B31" s="42">
        <v>0.74099999999999999</v>
      </c>
      <c r="C31" s="11">
        <v>0.96</v>
      </c>
      <c r="D31" s="11">
        <v>0.68100000000000005</v>
      </c>
      <c r="E31" s="43">
        <v>0.67100000000000004</v>
      </c>
      <c r="F31" s="6"/>
      <c r="G31" s="26">
        <f t="shared" si="10"/>
        <v>0.15561</v>
      </c>
      <c r="H31" s="26">
        <f t="shared" si="11"/>
        <v>0</v>
      </c>
      <c r="I31" s="26">
        <f t="shared" si="12"/>
        <v>0.39498000000000005</v>
      </c>
      <c r="J31" s="41">
        <f t="shared" si="13"/>
        <v>0.14091000000000001</v>
      </c>
      <c r="K31" s="44">
        <f t="shared" si="14"/>
        <v>0.6915</v>
      </c>
    </row>
    <row r="32" spans="1:23" ht="15.75" customHeight="1" x14ac:dyDescent="0.25">
      <c r="A32" s="28">
        <v>300</v>
      </c>
      <c r="B32" s="42">
        <v>0.73799999999999999</v>
      </c>
      <c r="C32" s="11">
        <v>0.92</v>
      </c>
      <c r="D32" s="11">
        <v>0.68899999999999995</v>
      </c>
      <c r="E32" s="43">
        <v>0.66300000000000003</v>
      </c>
      <c r="F32" s="6"/>
      <c r="G32" s="26">
        <f t="shared" si="10"/>
        <v>0.15498000000000001</v>
      </c>
      <c r="H32" s="26">
        <f t="shared" si="11"/>
        <v>0</v>
      </c>
      <c r="I32" s="26">
        <f t="shared" si="12"/>
        <v>0.39961999999999998</v>
      </c>
      <c r="J32" s="41">
        <f t="shared" si="13"/>
        <v>0.13922999999999999</v>
      </c>
      <c r="K32" s="44">
        <f t="shared" si="14"/>
        <v>0.69382999999999995</v>
      </c>
    </row>
    <row r="33" spans="1:11" ht="15.75" customHeight="1" x14ac:dyDescent="0.25">
      <c r="A33" s="28">
        <v>400</v>
      </c>
      <c r="B33" s="42">
        <v>0.73199999999999998</v>
      </c>
      <c r="C33" s="11">
        <v>0.9</v>
      </c>
      <c r="D33" s="11">
        <v>0.68899999999999995</v>
      </c>
      <c r="E33" s="43">
        <v>0.66500000000000004</v>
      </c>
      <c r="F33" s="6"/>
      <c r="G33" s="26">
        <f t="shared" si="10"/>
        <v>0.15372</v>
      </c>
      <c r="H33" s="26">
        <f t="shared" si="11"/>
        <v>0</v>
      </c>
      <c r="I33" s="26">
        <f t="shared" si="12"/>
        <v>0.39961999999999998</v>
      </c>
      <c r="J33" s="41">
        <f t="shared" si="13"/>
        <v>0.13965</v>
      </c>
      <c r="K33" s="44">
        <f t="shared" si="14"/>
        <v>0.69298999999999999</v>
      </c>
    </row>
    <row r="34" spans="1:11" ht="15.75" customHeight="1" x14ac:dyDescent="0.25">
      <c r="A34" s="28">
        <v>500</v>
      </c>
      <c r="B34" s="42">
        <v>0.67700000000000005</v>
      </c>
      <c r="C34" s="11">
        <v>0.9</v>
      </c>
      <c r="D34" s="11">
        <v>0.68500000000000005</v>
      </c>
      <c r="E34" s="43">
        <v>0.67400000000000004</v>
      </c>
      <c r="F34" s="6"/>
      <c r="G34" s="26">
        <f t="shared" si="10"/>
        <v>0.14217000000000002</v>
      </c>
      <c r="H34" s="26">
        <f t="shared" si="11"/>
        <v>0</v>
      </c>
      <c r="I34" s="26">
        <f t="shared" si="12"/>
        <v>0.39730000000000004</v>
      </c>
      <c r="J34" s="41">
        <f t="shared" si="13"/>
        <v>0.14154000000000003</v>
      </c>
      <c r="K34" s="44">
        <f t="shared" si="14"/>
        <v>0.68101000000000012</v>
      </c>
    </row>
    <row r="35" spans="1:11" ht="15.75" customHeight="1" x14ac:dyDescent="0.25">
      <c r="A35" s="28">
        <v>600</v>
      </c>
      <c r="B35" s="45">
        <v>0.67200000000000004</v>
      </c>
      <c r="C35" s="11">
        <v>0.9</v>
      </c>
      <c r="D35" s="11">
        <v>0.68899999999999995</v>
      </c>
      <c r="E35" s="43">
        <v>0.68500000000000005</v>
      </c>
      <c r="F35" s="6"/>
      <c r="G35" s="26">
        <f t="shared" si="10"/>
        <v>0.14112</v>
      </c>
      <c r="H35" s="26">
        <f t="shared" si="11"/>
        <v>0</v>
      </c>
      <c r="I35" s="26">
        <f t="shared" si="12"/>
        <v>0.39961999999999998</v>
      </c>
      <c r="J35" s="41">
        <f t="shared" si="13"/>
        <v>0.14385000000000001</v>
      </c>
      <c r="K35" s="44">
        <f t="shared" si="14"/>
        <v>0.68459000000000003</v>
      </c>
    </row>
    <row r="36" spans="1:11" ht="15.75" customHeight="1" x14ac:dyDescent="0.25">
      <c r="A36" s="28">
        <v>700</v>
      </c>
      <c r="B36" s="42">
        <v>0.69199999999999995</v>
      </c>
      <c r="C36" s="11">
        <v>0.9</v>
      </c>
      <c r="D36" s="11">
        <v>0.68600000000000005</v>
      </c>
      <c r="E36" s="43">
        <v>0.70499999999999996</v>
      </c>
      <c r="F36" s="6"/>
      <c r="G36" s="26">
        <f t="shared" si="10"/>
        <v>0.14531999999999998</v>
      </c>
      <c r="H36" s="26">
        <f t="shared" si="11"/>
        <v>0</v>
      </c>
      <c r="I36" s="26">
        <f t="shared" si="12"/>
        <v>0.39788000000000001</v>
      </c>
      <c r="J36" s="41">
        <f t="shared" si="13"/>
        <v>0.14804999999999999</v>
      </c>
      <c r="K36" s="44">
        <f t="shared" si="14"/>
        <v>0.69125000000000003</v>
      </c>
    </row>
    <row r="37" spans="1:11" ht="15.75" customHeight="1" x14ac:dyDescent="0.25">
      <c r="A37" s="28">
        <v>800</v>
      </c>
      <c r="B37" s="42">
        <v>0.70599999999999996</v>
      </c>
      <c r="C37" s="11">
        <v>0.9</v>
      </c>
      <c r="D37" s="11">
        <v>0.69899999999999995</v>
      </c>
      <c r="E37" s="43">
        <v>0.71899999999999997</v>
      </c>
      <c r="F37" s="6"/>
      <c r="G37" s="26">
        <f t="shared" si="10"/>
        <v>0.14825999999999998</v>
      </c>
      <c r="H37" s="26">
        <f t="shared" si="11"/>
        <v>0</v>
      </c>
      <c r="I37" s="26">
        <f t="shared" si="12"/>
        <v>0.40541999999999995</v>
      </c>
      <c r="J37" s="41">
        <f t="shared" si="13"/>
        <v>0.15099000000000001</v>
      </c>
      <c r="K37" s="44">
        <f t="shared" si="14"/>
        <v>0.70466999999999991</v>
      </c>
    </row>
    <row r="38" spans="1:11" ht="15.75" customHeight="1" x14ac:dyDescent="0.25">
      <c r="A38" s="28">
        <v>900</v>
      </c>
      <c r="B38" s="42">
        <v>0.72299999999999998</v>
      </c>
      <c r="C38" s="11">
        <v>0.9</v>
      </c>
      <c r="D38" s="11">
        <v>0.70799999999999996</v>
      </c>
      <c r="E38" s="43">
        <v>0.74299999999999999</v>
      </c>
      <c r="F38" s="6"/>
      <c r="G38" s="26">
        <f t="shared" si="10"/>
        <v>0.15182999999999999</v>
      </c>
      <c r="H38" s="26">
        <f t="shared" si="11"/>
        <v>0</v>
      </c>
      <c r="I38" s="26">
        <f t="shared" si="12"/>
        <v>0.41064000000000001</v>
      </c>
      <c r="J38" s="41">
        <f t="shared" si="13"/>
        <v>0.15603</v>
      </c>
      <c r="K38" s="44">
        <f t="shared" si="14"/>
        <v>0.71850000000000003</v>
      </c>
    </row>
    <row r="39" spans="1:11" ht="15.75" customHeight="1" x14ac:dyDescent="0.25">
      <c r="A39" s="32">
        <v>1000</v>
      </c>
      <c r="B39" s="46">
        <v>0.73599999999999999</v>
      </c>
      <c r="C39" s="47">
        <v>0.9</v>
      </c>
      <c r="D39" s="47">
        <v>0.71399999999999997</v>
      </c>
      <c r="E39" s="48">
        <v>0.77</v>
      </c>
      <c r="F39" s="6"/>
      <c r="G39" s="12">
        <f t="shared" si="10"/>
        <v>0.15456</v>
      </c>
      <c r="H39" s="12">
        <f t="shared" si="11"/>
        <v>0</v>
      </c>
      <c r="I39" s="12">
        <f t="shared" si="12"/>
        <v>0.41411999999999999</v>
      </c>
      <c r="J39" s="21">
        <f t="shared" si="13"/>
        <v>0.16170000000000001</v>
      </c>
      <c r="K39" s="49">
        <f t="shared" si="14"/>
        <v>0.73038000000000003</v>
      </c>
    </row>
    <row r="40" spans="1:1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" customHeight="1" x14ac:dyDescent="0.25">
      <c r="A41" s="97" t="s">
        <v>27</v>
      </c>
      <c r="B41" s="98"/>
      <c r="C41" s="98"/>
      <c r="D41" s="99"/>
      <c r="E41" s="6"/>
      <c r="I41" s="6"/>
      <c r="J41" s="6"/>
      <c r="K41" s="6"/>
    </row>
    <row r="42" spans="1:11" x14ac:dyDescent="0.25">
      <c r="A42" s="69" t="s">
        <v>28</v>
      </c>
      <c r="B42" s="69" t="s">
        <v>29</v>
      </c>
      <c r="C42" s="69" t="s">
        <v>15</v>
      </c>
      <c r="D42" s="69" t="s">
        <v>32</v>
      </c>
      <c r="E42" s="6"/>
      <c r="F42" s="100" t="s">
        <v>33</v>
      </c>
      <c r="G42" s="101"/>
      <c r="H42" s="102"/>
      <c r="I42" s="6"/>
      <c r="J42" s="6"/>
      <c r="K42" s="6"/>
    </row>
    <row r="43" spans="1:11" ht="15.75" customHeight="1" x14ac:dyDescent="0.25">
      <c r="A43" s="8" cm="1">
        <f t="array" ref="A43">INDEX(LINEST(K30:K39,A30:A39^{1,2,3}),1,1)</f>
        <v>4.8609168609168391E-11</v>
      </c>
      <c r="B43" s="8" cm="1">
        <f t="array" ref="B43">INDEX(LINEST(K30:K39,A30:A39^{1,2,3}),1,2)</f>
        <v>8.2128205128205446E-8</v>
      </c>
      <c r="C43" s="8" cm="1">
        <f t="array" ref="C43">INDEX(LINEST(K30:K39,A30:A39^{1,2,3}),1,3)</f>
        <v>-1.139914529914531E-4</v>
      </c>
      <c r="D43" s="8" cm="1">
        <f t="array" ref="D43">INDEX(LINEST(K30:K39,A30:A39^{1,2,3}),1,4)</f>
        <v>0.71590866666666686</v>
      </c>
      <c r="E43" s="6"/>
      <c r="F43" s="103">
        <f>$A$43*A3^3+$B$43*A3^2+$C$43*A3+$D$43</f>
        <v>0.68552113752913768</v>
      </c>
      <c r="G43" s="104"/>
      <c r="H43" s="105"/>
      <c r="I43" s="6"/>
      <c r="J43" s="6"/>
      <c r="K43" s="6"/>
    </row>
    <row r="44" spans="1:1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.75" customHeight="1" x14ac:dyDescent="0.25">
      <c r="A46" s="9"/>
      <c r="B46" s="9"/>
      <c r="C46" s="6"/>
      <c r="D46" s="6"/>
      <c r="E46" s="6"/>
      <c r="F46" s="6"/>
      <c r="G46" s="6"/>
      <c r="H46" s="6"/>
      <c r="I46" s="6"/>
      <c r="J46" s="6"/>
      <c r="K46" s="6"/>
    </row>
    <row r="47" spans="1:11" ht="15.75" customHeight="1" x14ac:dyDescent="0.25">
      <c r="A47" s="106" t="s">
        <v>24</v>
      </c>
      <c r="B47" s="108" t="s">
        <v>34</v>
      </c>
      <c r="C47" s="109"/>
      <c r="D47" s="109"/>
      <c r="E47" s="110"/>
      <c r="F47" s="6"/>
      <c r="G47" s="12" t="s">
        <v>9</v>
      </c>
      <c r="H47" s="13" t="s">
        <v>10</v>
      </c>
      <c r="I47" s="13" t="s">
        <v>11</v>
      </c>
      <c r="J47" s="14" t="s">
        <v>12</v>
      </c>
      <c r="K47" s="6"/>
    </row>
    <row r="48" spans="1:11" ht="15.75" customHeight="1" x14ac:dyDescent="0.25">
      <c r="A48" s="107"/>
      <c r="B48" s="15" t="s">
        <v>9</v>
      </c>
      <c r="C48" s="16" t="s">
        <v>10</v>
      </c>
      <c r="D48" s="16" t="s">
        <v>11</v>
      </c>
      <c r="E48" s="17" t="s">
        <v>12</v>
      </c>
      <c r="F48" s="6"/>
      <c r="G48" s="18">
        <f>B3</f>
        <v>21</v>
      </c>
      <c r="H48" s="19">
        <f>C3</f>
        <v>0</v>
      </c>
      <c r="I48" s="19">
        <f>D3</f>
        <v>58</v>
      </c>
      <c r="J48" s="20">
        <f>E3</f>
        <v>21</v>
      </c>
      <c r="K48" s="21" t="s">
        <v>35</v>
      </c>
    </row>
    <row r="49" spans="1:12" ht="15.75" customHeight="1" x14ac:dyDescent="0.25">
      <c r="A49" s="50">
        <v>100</v>
      </c>
      <c r="B49" s="26">
        <f>22.3*0.001</f>
        <v>2.23E-2</v>
      </c>
      <c r="C49" s="39">
        <f>24.7*0.001</f>
        <v>2.47E-2</v>
      </c>
      <c r="D49" s="39">
        <f>32.8*0.001</f>
        <v>3.2799999999999996E-2</v>
      </c>
      <c r="E49" s="40">
        <f>31.3*0.001</f>
        <v>3.1300000000000001E-2</v>
      </c>
      <c r="F49" s="6"/>
      <c r="G49" s="26">
        <f t="shared" ref="G49:G58" si="15">G$48*B49/100</f>
        <v>4.6829999999999997E-3</v>
      </c>
      <c r="H49" s="39">
        <f t="shared" ref="H49:H58" si="16">H$48*C49/100</f>
        <v>0</v>
      </c>
      <c r="I49" s="39">
        <f t="shared" ref="I49:I58" si="17">I$48*D49/100</f>
        <v>1.9023999999999996E-2</v>
      </c>
      <c r="J49" s="40">
        <f t="shared" ref="J49:J58" si="18">J$48*E49/100</f>
        <v>6.5729999999999998E-3</v>
      </c>
      <c r="K49" s="41">
        <f t="shared" ref="K49:K58" si="19">SUM(G49:J49)</f>
        <v>3.0279999999999994E-2</v>
      </c>
    </row>
    <row r="50" spans="1:12" ht="15.75" customHeight="1" x14ac:dyDescent="0.25">
      <c r="A50" s="28">
        <v>200</v>
      </c>
      <c r="B50" s="51">
        <f>30.1*0.001</f>
        <v>3.0100000000000002E-2</v>
      </c>
      <c r="C50" s="7">
        <f>33.3*0.001</f>
        <v>3.3299999999999996E-2</v>
      </c>
      <c r="D50" s="7">
        <f>40.6*0.001</f>
        <v>4.0600000000000004E-2</v>
      </c>
      <c r="E50" s="52">
        <f>37.4*0.001</f>
        <v>3.7400000000000003E-2</v>
      </c>
      <c r="F50" s="6"/>
      <c r="G50" s="26">
        <f t="shared" si="15"/>
        <v>6.3210000000000002E-3</v>
      </c>
      <c r="H50" s="39">
        <f t="shared" si="16"/>
        <v>0</v>
      </c>
      <c r="I50" s="39">
        <f t="shared" si="17"/>
        <v>2.3548000000000003E-2</v>
      </c>
      <c r="J50" s="40">
        <f t="shared" si="18"/>
        <v>7.8540000000000016E-3</v>
      </c>
      <c r="K50" s="44">
        <f t="shared" si="19"/>
        <v>3.7723000000000007E-2</v>
      </c>
    </row>
    <row r="51" spans="1:12" ht="15.75" customHeight="1" x14ac:dyDescent="0.25">
      <c r="A51" s="28">
        <v>300</v>
      </c>
      <c r="B51" s="51">
        <f>37.9*0.001</f>
        <v>3.7899999999999996E-2</v>
      </c>
      <c r="C51" s="7">
        <f>43.5*0.001</f>
        <v>4.3500000000000004E-2</v>
      </c>
      <c r="D51" s="7">
        <f>47.9*0.001</f>
        <v>4.7899999999999998E-2</v>
      </c>
      <c r="E51" s="52">
        <f>43.1*0.001</f>
        <v>4.3099999999999999E-2</v>
      </c>
      <c r="F51" s="6"/>
      <c r="G51" s="26">
        <f t="shared" si="15"/>
        <v>7.9589999999999991E-3</v>
      </c>
      <c r="H51" s="39">
        <f t="shared" si="16"/>
        <v>0</v>
      </c>
      <c r="I51" s="39">
        <f t="shared" si="17"/>
        <v>2.7782000000000001E-2</v>
      </c>
      <c r="J51" s="40">
        <f t="shared" si="18"/>
        <v>9.051E-3</v>
      </c>
      <c r="K51" s="44">
        <f t="shared" si="19"/>
        <v>4.4791999999999998E-2</v>
      </c>
    </row>
    <row r="52" spans="1:12" ht="15.75" customHeight="1" x14ac:dyDescent="0.25">
      <c r="A52" s="28">
        <v>400</v>
      </c>
      <c r="B52" s="51">
        <f>45.6*0.001</f>
        <v>4.5600000000000002E-2</v>
      </c>
      <c r="C52" s="7">
        <f>55.5*0.001</f>
        <v>5.5500000000000001E-2</v>
      </c>
      <c r="D52" s="7">
        <f>54.9*0.001</f>
        <v>5.4899999999999997E-2</v>
      </c>
      <c r="E52" s="52">
        <f>48.6*0.001</f>
        <v>4.8600000000000004E-2</v>
      </c>
      <c r="F52" s="6"/>
      <c r="G52" s="26">
        <f t="shared" si="15"/>
        <v>9.5759999999999994E-3</v>
      </c>
      <c r="H52" s="39">
        <f t="shared" si="16"/>
        <v>0</v>
      </c>
      <c r="I52" s="39">
        <f t="shared" si="17"/>
        <v>3.1841999999999995E-2</v>
      </c>
      <c r="J52" s="40">
        <f t="shared" si="18"/>
        <v>1.0206000000000002E-2</v>
      </c>
      <c r="K52" s="44">
        <f t="shared" si="19"/>
        <v>5.1623999999999996E-2</v>
      </c>
    </row>
    <row r="53" spans="1:12" ht="15.75" customHeight="1" x14ac:dyDescent="0.25">
      <c r="A53" s="28">
        <v>500</v>
      </c>
      <c r="B53" s="51">
        <f>53.4*0.001</f>
        <v>5.3400000000000003E-2</v>
      </c>
      <c r="C53" s="7">
        <f>68.6*0.001</f>
        <v>6.8599999999999994E-2</v>
      </c>
      <c r="D53" s="7">
        <f>61.4*0.001</f>
        <v>6.1400000000000003E-2</v>
      </c>
      <c r="E53" s="52">
        <f>53.5*0.001</f>
        <v>5.3499999999999999E-2</v>
      </c>
      <c r="F53" s="6"/>
      <c r="G53" s="26">
        <f t="shared" si="15"/>
        <v>1.1214E-2</v>
      </c>
      <c r="H53" s="39">
        <f t="shared" si="16"/>
        <v>0</v>
      </c>
      <c r="I53" s="39">
        <f t="shared" si="17"/>
        <v>3.5612000000000005E-2</v>
      </c>
      <c r="J53" s="40">
        <f t="shared" si="18"/>
        <v>1.1235E-2</v>
      </c>
      <c r="K53" s="44">
        <f t="shared" si="19"/>
        <v>5.8061000000000008E-2</v>
      </c>
    </row>
    <row r="54" spans="1:12" ht="15.75" customHeight="1" x14ac:dyDescent="0.25">
      <c r="A54" s="28">
        <v>600</v>
      </c>
      <c r="B54" s="51">
        <f>62.1*0.001</f>
        <v>6.2100000000000002E-2</v>
      </c>
      <c r="C54" s="7">
        <f>82.9*0.001</f>
        <v>8.2900000000000001E-2</v>
      </c>
      <c r="D54" s="7">
        <f>67.3*0.001</f>
        <v>6.7299999999999999E-2</v>
      </c>
      <c r="E54" s="52">
        <f>57.9*0.001</f>
        <v>5.79E-2</v>
      </c>
      <c r="F54" s="6"/>
      <c r="G54" s="26">
        <f t="shared" si="15"/>
        <v>1.3041000000000001E-2</v>
      </c>
      <c r="H54" s="39">
        <f t="shared" si="16"/>
        <v>0</v>
      </c>
      <c r="I54" s="39">
        <f t="shared" si="17"/>
        <v>3.9033999999999999E-2</v>
      </c>
      <c r="J54" s="40">
        <f t="shared" si="18"/>
        <v>1.2159E-2</v>
      </c>
      <c r="K54" s="44">
        <f t="shared" si="19"/>
        <v>6.4233999999999999E-2</v>
      </c>
    </row>
    <row r="55" spans="1:12" ht="15.75" customHeight="1" x14ac:dyDescent="0.25">
      <c r="A55" s="28">
        <v>700</v>
      </c>
      <c r="B55" s="51">
        <f>68.8*0.001</f>
        <v>6.88E-2</v>
      </c>
      <c r="C55" s="7">
        <f>98*0.001</f>
        <v>9.8000000000000004E-2</v>
      </c>
      <c r="D55" s="7">
        <f>72.7*0.001</f>
        <v>7.2700000000000001E-2</v>
      </c>
      <c r="E55" s="52">
        <f>62.1*0.001</f>
        <v>6.2100000000000002E-2</v>
      </c>
      <c r="F55" s="6"/>
      <c r="G55" s="26">
        <f t="shared" si="15"/>
        <v>1.4448000000000001E-2</v>
      </c>
      <c r="H55" s="39">
        <f t="shared" si="16"/>
        <v>0</v>
      </c>
      <c r="I55" s="39">
        <f t="shared" si="17"/>
        <v>4.2165999999999995E-2</v>
      </c>
      <c r="J55" s="40">
        <f t="shared" si="18"/>
        <v>1.3041000000000001E-2</v>
      </c>
      <c r="K55" s="44">
        <f t="shared" si="19"/>
        <v>6.9654999999999995E-2</v>
      </c>
    </row>
    <row r="56" spans="1:12" ht="15.75" customHeight="1" x14ac:dyDescent="0.25">
      <c r="A56" s="28">
        <v>800</v>
      </c>
      <c r="B56" s="51">
        <f>76.5*0.001</f>
        <v>7.6499999999999999E-2</v>
      </c>
      <c r="C56" s="7">
        <f>98*0.001</f>
        <v>9.8000000000000004E-2</v>
      </c>
      <c r="D56" s="7">
        <f>77.6*0.001</f>
        <v>7.7600000000000002E-2</v>
      </c>
      <c r="E56" s="52">
        <f>66.2*0.001</f>
        <v>6.6200000000000009E-2</v>
      </c>
      <c r="F56" s="6"/>
      <c r="G56" s="26">
        <f t="shared" si="15"/>
        <v>1.6064999999999999E-2</v>
      </c>
      <c r="H56" s="39">
        <f t="shared" si="16"/>
        <v>0</v>
      </c>
      <c r="I56" s="39">
        <f t="shared" si="17"/>
        <v>4.5007999999999999E-2</v>
      </c>
      <c r="J56" s="40">
        <f t="shared" si="18"/>
        <v>1.3902000000000001E-2</v>
      </c>
      <c r="K56" s="44">
        <f t="shared" si="19"/>
        <v>7.4975E-2</v>
      </c>
    </row>
    <row r="57" spans="1:12" ht="15.75" customHeight="1" x14ac:dyDescent="0.25">
      <c r="A57" s="28">
        <v>900</v>
      </c>
      <c r="B57" s="51">
        <f>84.2*0.001</f>
        <v>8.4200000000000011E-2</v>
      </c>
      <c r="C57" s="7">
        <f>98*0.001</f>
        <v>9.8000000000000004E-2</v>
      </c>
      <c r="D57" s="7">
        <f>81.9*0.001</f>
        <v>8.1900000000000001E-2</v>
      </c>
      <c r="E57" s="52">
        <f>70.1*0.001</f>
        <v>7.0099999999999996E-2</v>
      </c>
      <c r="F57" s="6"/>
      <c r="G57" s="26">
        <f t="shared" si="15"/>
        <v>1.7682000000000003E-2</v>
      </c>
      <c r="H57" s="39">
        <f t="shared" si="16"/>
        <v>0</v>
      </c>
      <c r="I57" s="39">
        <f t="shared" si="17"/>
        <v>4.7502000000000003E-2</v>
      </c>
      <c r="J57" s="40">
        <f t="shared" si="18"/>
        <v>1.4721E-2</v>
      </c>
      <c r="K57" s="44">
        <f t="shared" si="19"/>
        <v>7.9905000000000004E-2</v>
      </c>
    </row>
    <row r="58" spans="1:12" ht="15.75" customHeight="1" x14ac:dyDescent="0.25">
      <c r="A58" s="32">
        <v>1000</v>
      </c>
      <c r="B58" s="53">
        <f>91.9*0.001</f>
        <v>9.1900000000000009E-2</v>
      </c>
      <c r="C58" s="54">
        <f>98*0.001</f>
        <v>9.8000000000000004E-2</v>
      </c>
      <c r="D58" s="54">
        <f>85.7*0.001</f>
        <v>8.5699999999999998E-2</v>
      </c>
      <c r="E58" s="55">
        <f>73.9*0.001</f>
        <v>7.3900000000000007E-2</v>
      </c>
      <c r="F58" s="6"/>
      <c r="G58" s="12">
        <f t="shared" si="15"/>
        <v>1.9299E-2</v>
      </c>
      <c r="H58" s="13">
        <f t="shared" si="16"/>
        <v>0</v>
      </c>
      <c r="I58" s="13">
        <f t="shared" si="17"/>
        <v>4.9706E-2</v>
      </c>
      <c r="J58" s="14">
        <f t="shared" si="18"/>
        <v>1.5519E-2</v>
      </c>
      <c r="K58" s="49">
        <f t="shared" si="19"/>
        <v>8.4524000000000002E-2</v>
      </c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2" ht="15.75" customHeight="1" x14ac:dyDescent="0.25">
      <c r="A60" s="88" t="s">
        <v>27</v>
      </c>
      <c r="B60" s="88"/>
      <c r="C60" s="88"/>
      <c r="D60" s="1"/>
      <c r="E60" s="6"/>
      <c r="F60" s="6"/>
      <c r="G60" s="6"/>
      <c r="H60" s="6"/>
      <c r="I60" s="6"/>
      <c r="J60" s="6"/>
      <c r="K60" s="6"/>
    </row>
    <row r="61" spans="1:12" x14ac:dyDescent="0.25">
      <c r="A61" s="69" t="s">
        <v>28</v>
      </c>
      <c r="B61" s="69" t="s">
        <v>29</v>
      </c>
      <c r="C61" s="69" t="s">
        <v>15</v>
      </c>
      <c r="D61" s="37"/>
      <c r="E61" s="6"/>
      <c r="F61" s="89" t="s">
        <v>36</v>
      </c>
      <c r="G61" s="90"/>
      <c r="H61" s="91"/>
      <c r="I61" s="95"/>
      <c r="J61" s="95"/>
      <c r="K61" s="95"/>
    </row>
    <row r="62" spans="1:12" ht="15.75" customHeight="1" x14ac:dyDescent="0.25">
      <c r="A62" s="8" cm="1">
        <f t="array" ref="A62">INDEX(LINEST(K49:K58,A49:A58^{1,2}),1,1)</f>
        <v>-1.8448484848484831E-8</v>
      </c>
      <c r="B62" s="8" cm="1">
        <f t="array" ref="B62">INDEX(LINEST(K49:K58,A49:A58^{1,2}),1,2)</f>
        <v>8.0575212121212095E-5</v>
      </c>
      <c r="C62" s="8" cm="1">
        <f t="array" ref="C62">INDEX(LINEST(K49:K58,A49:A58^{1,2}),1,3)</f>
        <v>2.2363600000000018E-2</v>
      </c>
      <c r="D62" s="9"/>
      <c r="E62" s="6"/>
      <c r="F62" s="92">
        <f>$A$62*$A$3^2+$B$62*$A$3+$C$62</f>
        <v>5.8039084848484856E-2</v>
      </c>
      <c r="G62" s="93"/>
      <c r="H62" s="94"/>
      <c r="I62" s="96"/>
      <c r="J62" s="96"/>
      <c r="K62" s="96"/>
      <c r="L62" s="2"/>
    </row>
    <row r="65" spans="1:13" ht="15.75" customHeight="1" x14ac:dyDescent="0.25"/>
    <row r="66" spans="1:13" ht="15.75" customHeight="1" x14ac:dyDescent="0.25">
      <c r="A66" s="83" t="s">
        <v>24</v>
      </c>
      <c r="B66" s="85" t="s">
        <v>37</v>
      </c>
      <c r="C66" s="86"/>
      <c r="D66" s="86"/>
      <c r="E66" s="87"/>
      <c r="G66" s="12" t="s">
        <v>9</v>
      </c>
      <c r="H66" s="13" t="s">
        <v>10</v>
      </c>
      <c r="I66" s="13" t="s">
        <v>11</v>
      </c>
      <c r="J66" s="14" t="s">
        <v>12</v>
      </c>
      <c r="K66" s="6"/>
    </row>
    <row r="67" spans="1:13" ht="15.75" customHeight="1" x14ac:dyDescent="0.25">
      <c r="A67" s="84"/>
      <c r="B67" s="21" t="s">
        <v>9</v>
      </c>
      <c r="C67" s="62" t="s">
        <v>10</v>
      </c>
      <c r="D67" s="21" t="s">
        <v>11</v>
      </c>
      <c r="E67" s="63" t="s">
        <v>12</v>
      </c>
      <c r="G67" s="18">
        <f>B3</f>
        <v>21</v>
      </c>
      <c r="H67" s="19">
        <f>C3</f>
        <v>0</v>
      </c>
      <c r="I67" s="19">
        <f>D3</f>
        <v>58</v>
      </c>
      <c r="J67" s="20">
        <f>E3</f>
        <v>21</v>
      </c>
      <c r="K67" s="21" t="s">
        <v>35</v>
      </c>
    </row>
    <row r="68" spans="1:13" ht="15.75" customHeight="1" x14ac:dyDescent="0.25">
      <c r="A68" s="59">
        <v>100</v>
      </c>
      <c r="B68" s="60">
        <v>0.91510000000000002</v>
      </c>
      <c r="C68" s="60">
        <v>1.4413</v>
      </c>
      <c r="D68" s="60">
        <v>1.0458000000000001</v>
      </c>
      <c r="E68" s="60">
        <v>0.9153</v>
      </c>
      <c r="G68" s="26">
        <f t="shared" ref="G68:G77" si="20">G$48*B68/100</f>
        <v>0.19217100000000001</v>
      </c>
      <c r="H68" s="39">
        <f t="shared" ref="H68:H77" si="21">H$48*C68/100</f>
        <v>0</v>
      </c>
      <c r="I68" s="39">
        <f t="shared" ref="I68:I77" si="22">I$48*D68/100</f>
        <v>0.6065640000000001</v>
      </c>
      <c r="J68" s="40">
        <f t="shared" ref="J68:J77" si="23">J$48*E68/100</f>
        <v>0.19221299999999999</v>
      </c>
      <c r="K68" s="41">
        <f t="shared" ref="K68:K77" si="24">SUM(G68:J68)</f>
        <v>0.99094800000000005</v>
      </c>
      <c r="L68" s="61"/>
      <c r="M68" s="61"/>
    </row>
    <row r="69" spans="1:13" ht="15.75" customHeight="1" x14ac:dyDescent="0.25">
      <c r="A69" s="59">
        <v>200</v>
      </c>
      <c r="B69" s="60">
        <v>0.72150000000000003</v>
      </c>
      <c r="C69" s="60">
        <v>1.1337999999999999</v>
      </c>
      <c r="D69" s="60">
        <v>0.82440000000000002</v>
      </c>
      <c r="E69" s="60">
        <v>0.72160000000000002</v>
      </c>
      <c r="G69" s="26">
        <f t="shared" si="20"/>
        <v>0.15151500000000001</v>
      </c>
      <c r="H69" s="39">
        <f t="shared" si="21"/>
        <v>0</v>
      </c>
      <c r="I69" s="39">
        <f t="shared" si="22"/>
        <v>0.47815200000000002</v>
      </c>
      <c r="J69" s="40">
        <f t="shared" si="23"/>
        <v>0.151536</v>
      </c>
      <c r="K69" s="44">
        <f t="shared" si="24"/>
        <v>0.78120299999999998</v>
      </c>
      <c r="L69" s="61"/>
      <c r="M69" s="61"/>
    </row>
    <row r="70" spans="1:13" ht="15.75" customHeight="1" x14ac:dyDescent="0.25">
      <c r="A70" s="59">
        <v>300</v>
      </c>
      <c r="B70" s="60">
        <v>0.59550000000000003</v>
      </c>
      <c r="C70" s="60">
        <v>0.93610000000000004</v>
      </c>
      <c r="D70" s="60">
        <v>0.6804</v>
      </c>
      <c r="E70" s="60">
        <v>0.59570000000000001</v>
      </c>
      <c r="G70" s="26">
        <f t="shared" si="20"/>
        <v>0.12505500000000003</v>
      </c>
      <c r="H70" s="39">
        <f t="shared" si="21"/>
        <v>0</v>
      </c>
      <c r="I70" s="39">
        <f t="shared" si="22"/>
        <v>0.39463199999999998</v>
      </c>
      <c r="J70" s="40">
        <f t="shared" si="23"/>
        <v>0.12509700000000001</v>
      </c>
      <c r="K70" s="44">
        <f t="shared" si="24"/>
        <v>0.64478400000000002</v>
      </c>
      <c r="L70" s="61"/>
      <c r="M70" s="61"/>
    </row>
    <row r="71" spans="1:13" ht="15.75" customHeight="1" x14ac:dyDescent="0.25">
      <c r="A71" s="59">
        <v>400</v>
      </c>
      <c r="B71" s="60">
        <v>0.50700000000000001</v>
      </c>
      <c r="C71" s="60">
        <v>0.79710000000000003</v>
      </c>
      <c r="D71" s="60">
        <v>0.57930000000000004</v>
      </c>
      <c r="E71" s="60">
        <v>0.5071</v>
      </c>
      <c r="G71" s="26">
        <f t="shared" si="20"/>
        <v>0.10647000000000001</v>
      </c>
      <c r="H71" s="39">
        <f t="shared" si="21"/>
        <v>0</v>
      </c>
      <c r="I71" s="39">
        <f t="shared" si="22"/>
        <v>0.33599400000000001</v>
      </c>
      <c r="J71" s="40">
        <f t="shared" si="23"/>
        <v>0.106491</v>
      </c>
      <c r="K71" s="44">
        <f t="shared" si="24"/>
        <v>0.54895500000000008</v>
      </c>
      <c r="L71" s="61"/>
      <c r="M71" s="61"/>
    </row>
    <row r="72" spans="1:13" ht="15.75" customHeight="1" x14ac:dyDescent="0.25">
      <c r="A72" s="59">
        <v>500</v>
      </c>
      <c r="B72" s="60">
        <v>0.44140000000000001</v>
      </c>
      <c r="C72" s="60">
        <v>0.69379999999999997</v>
      </c>
      <c r="D72" s="60">
        <v>0.50439999999999996</v>
      </c>
      <c r="E72" s="60">
        <v>0.4415</v>
      </c>
      <c r="G72" s="26">
        <f t="shared" si="20"/>
        <v>9.2694000000000012E-2</v>
      </c>
      <c r="H72" s="39">
        <f t="shared" si="21"/>
        <v>0</v>
      </c>
      <c r="I72" s="39">
        <f t="shared" si="22"/>
        <v>0.29255199999999998</v>
      </c>
      <c r="J72" s="40">
        <f t="shared" si="23"/>
        <v>9.2714999999999992E-2</v>
      </c>
      <c r="K72" s="44">
        <f t="shared" si="24"/>
        <v>0.47796099999999997</v>
      </c>
      <c r="L72" s="61"/>
      <c r="M72" s="61"/>
    </row>
    <row r="73" spans="1:13" ht="15.75" customHeight="1" x14ac:dyDescent="0.25">
      <c r="A73" s="59">
        <v>600</v>
      </c>
      <c r="B73" s="60">
        <v>0.39119999999999999</v>
      </c>
      <c r="C73" s="60">
        <v>0.61470000000000002</v>
      </c>
      <c r="D73" s="60">
        <v>0.44690000000000002</v>
      </c>
      <c r="E73" s="60">
        <v>0.39119999999999999</v>
      </c>
      <c r="G73" s="26">
        <f t="shared" si="20"/>
        <v>8.2151999999999989E-2</v>
      </c>
      <c r="H73" s="39">
        <f t="shared" si="21"/>
        <v>0</v>
      </c>
      <c r="I73" s="39">
        <f t="shared" si="22"/>
        <v>0.25920199999999999</v>
      </c>
      <c r="J73" s="40">
        <f t="shared" si="23"/>
        <v>8.2151999999999989E-2</v>
      </c>
      <c r="K73" s="44">
        <f t="shared" si="24"/>
        <v>0.42350599999999999</v>
      </c>
      <c r="L73" s="61"/>
      <c r="M73" s="61"/>
    </row>
    <row r="74" spans="1:13" ht="15.75" customHeight="1" x14ac:dyDescent="0.25">
      <c r="A74" s="59">
        <v>700</v>
      </c>
      <c r="B74" s="60">
        <v>0.35089999999999999</v>
      </c>
      <c r="C74" s="60">
        <v>0.5514</v>
      </c>
      <c r="D74" s="60">
        <v>0.40089999999999998</v>
      </c>
      <c r="E74" s="60">
        <v>0.35099999999999998</v>
      </c>
      <c r="G74" s="26">
        <f t="shared" si="20"/>
        <v>7.3689000000000004E-2</v>
      </c>
      <c r="H74" s="39">
        <f t="shared" si="21"/>
        <v>0</v>
      </c>
      <c r="I74" s="39">
        <f t="shared" si="22"/>
        <v>0.23252199999999998</v>
      </c>
      <c r="J74" s="40">
        <f t="shared" si="23"/>
        <v>7.3709999999999998E-2</v>
      </c>
      <c r="K74" s="44">
        <f t="shared" si="24"/>
        <v>0.37992100000000001</v>
      </c>
      <c r="L74" s="61"/>
      <c r="M74" s="61"/>
    </row>
    <row r="75" spans="1:13" ht="15.75" customHeight="1" x14ac:dyDescent="0.25">
      <c r="A75" s="59">
        <v>800</v>
      </c>
      <c r="B75" s="60">
        <v>0.32050000000000001</v>
      </c>
      <c r="C75" s="60">
        <v>0.5</v>
      </c>
      <c r="D75" s="60">
        <v>0.36349999999999999</v>
      </c>
      <c r="E75" s="60">
        <v>0.31819999999999998</v>
      </c>
      <c r="G75" s="26">
        <f t="shared" si="20"/>
        <v>6.7305000000000004E-2</v>
      </c>
      <c r="H75" s="39">
        <f t="shared" si="21"/>
        <v>0</v>
      </c>
      <c r="I75" s="39">
        <f t="shared" si="22"/>
        <v>0.21082999999999999</v>
      </c>
      <c r="J75" s="40">
        <f t="shared" si="23"/>
        <v>6.6821999999999993E-2</v>
      </c>
      <c r="K75" s="44">
        <f t="shared" si="24"/>
        <v>0.34495700000000001</v>
      </c>
      <c r="L75" s="61"/>
      <c r="M75" s="61"/>
    </row>
    <row r="76" spans="1:13" ht="15.75" customHeight="1" x14ac:dyDescent="0.25">
      <c r="A76" s="59">
        <v>900</v>
      </c>
      <c r="B76" s="60">
        <v>0.29299999999999998</v>
      </c>
      <c r="C76" s="60">
        <v>0.4572</v>
      </c>
      <c r="D76" s="60">
        <v>0.33250000000000002</v>
      </c>
      <c r="E76" s="60">
        <v>0.29110000000000003</v>
      </c>
      <c r="G76" s="26">
        <f t="shared" si="20"/>
        <v>6.1529999999999994E-2</v>
      </c>
      <c r="H76" s="39">
        <f t="shared" si="21"/>
        <v>0</v>
      </c>
      <c r="I76" s="39">
        <f t="shared" si="22"/>
        <v>0.19284999999999999</v>
      </c>
      <c r="J76" s="40">
        <f t="shared" si="23"/>
        <v>6.1131000000000005E-2</v>
      </c>
      <c r="K76" s="44">
        <f t="shared" si="24"/>
        <v>0.31551099999999999</v>
      </c>
      <c r="L76" s="61"/>
      <c r="M76" s="61"/>
    </row>
    <row r="77" spans="1:13" ht="15.75" customHeight="1" x14ac:dyDescent="0.25">
      <c r="A77" s="59">
        <v>1000</v>
      </c>
      <c r="B77" s="57">
        <v>0.26979999999999998</v>
      </c>
      <c r="C77" s="57">
        <v>0.42399999999999999</v>
      </c>
      <c r="D77" s="60">
        <v>0.30640000000000001</v>
      </c>
      <c r="E77" s="57">
        <v>0.26819999999999999</v>
      </c>
      <c r="G77" s="12">
        <f t="shared" si="20"/>
        <v>5.6658E-2</v>
      </c>
      <c r="H77" s="13">
        <f t="shared" si="21"/>
        <v>0</v>
      </c>
      <c r="I77" s="13">
        <f t="shared" si="22"/>
        <v>0.17771200000000001</v>
      </c>
      <c r="J77" s="14">
        <f t="shared" si="23"/>
        <v>5.6322000000000004E-2</v>
      </c>
      <c r="K77" s="49">
        <f t="shared" si="24"/>
        <v>0.29069200000000001</v>
      </c>
      <c r="L77" s="61"/>
      <c r="M77" s="61"/>
    </row>
    <row r="78" spans="1:13" x14ac:dyDescent="0.25">
      <c r="A78" s="65"/>
      <c r="B78" s="61"/>
      <c r="C78" s="61"/>
      <c r="D78" s="64"/>
      <c r="E78" s="61"/>
      <c r="G78" s="61"/>
      <c r="H78" s="61"/>
      <c r="I78" s="61"/>
      <c r="J78" s="61"/>
      <c r="K78" s="61"/>
      <c r="L78" s="61"/>
      <c r="M78" s="61"/>
    </row>
    <row r="79" spans="1:13" ht="15.75" customHeight="1" x14ac:dyDescent="0.25">
      <c r="A79" s="88" t="s">
        <v>27</v>
      </c>
      <c r="B79" s="88"/>
      <c r="C79" s="88"/>
      <c r="D79" s="1"/>
      <c r="E79" s="6"/>
      <c r="F79" s="6"/>
      <c r="G79" s="6"/>
      <c r="H79" s="6"/>
    </row>
    <row r="80" spans="1:13" x14ac:dyDescent="0.25">
      <c r="A80" s="69" t="s">
        <v>28</v>
      </c>
      <c r="B80" s="69" t="s">
        <v>29</v>
      </c>
      <c r="C80" s="69" t="s">
        <v>15</v>
      </c>
      <c r="D80" s="37"/>
      <c r="E80" s="6"/>
      <c r="F80" s="89" t="s">
        <v>38</v>
      </c>
      <c r="G80" s="90"/>
      <c r="H80" s="91"/>
    </row>
    <row r="81" spans="1:11" ht="15.75" customHeight="1" x14ac:dyDescent="0.25">
      <c r="A81" s="8" cm="1">
        <f t="array" ref="A81">INDEX(LINEST(K68:K77,A68:A77^{1,2}),1,1)</f>
        <v>9.4736022727272773E-7</v>
      </c>
      <c r="B81" s="8" cm="1">
        <f t="array" ref="B81">INDEX(LINEST(K68:K77,A68:A77^{1,2}),1,2)</f>
        <v>-1.7465107954545461E-3</v>
      </c>
      <c r="C81" s="8" cm="1">
        <f t="array" ref="C81">INDEX(LINEST(K68:K77,A68:A77^{1,2}),1,3)</f>
        <v>1.1156910500000001</v>
      </c>
      <c r="D81" s="9"/>
      <c r="E81" s="6"/>
      <c r="F81" s="92">
        <f>$A$81*$A$3^2+$B$81*$A$3+$C$81</f>
        <v>0.479275709090909</v>
      </c>
      <c r="G81" s="93"/>
      <c r="H81" s="94"/>
    </row>
    <row r="84" spans="1:11" ht="15.75" customHeight="1" x14ac:dyDescent="0.25"/>
    <row r="85" spans="1:11" ht="15.75" customHeight="1" x14ac:dyDescent="0.25">
      <c r="A85" s="83" t="s">
        <v>24</v>
      </c>
      <c r="B85" s="85" t="s">
        <v>39</v>
      </c>
      <c r="C85" s="86"/>
      <c r="D85" s="86"/>
      <c r="E85" s="87"/>
      <c r="G85" s="12" t="s">
        <v>9</v>
      </c>
      <c r="H85" s="13" t="s">
        <v>10</v>
      </c>
      <c r="I85" s="13" t="s">
        <v>11</v>
      </c>
      <c r="J85" s="14" t="s">
        <v>12</v>
      </c>
      <c r="K85" s="6"/>
    </row>
    <row r="86" spans="1:11" ht="15.75" customHeight="1" x14ac:dyDescent="0.25">
      <c r="A86" s="84"/>
      <c r="B86" s="21" t="s">
        <v>9</v>
      </c>
      <c r="C86" s="62" t="s">
        <v>10</v>
      </c>
      <c r="D86" s="21" t="s">
        <v>11</v>
      </c>
      <c r="E86" s="63" t="s">
        <v>12</v>
      </c>
      <c r="G86" s="18">
        <f>B3</f>
        <v>21</v>
      </c>
      <c r="H86" s="19">
        <f>C3</f>
        <v>0</v>
      </c>
      <c r="I86" s="19">
        <f>D3</f>
        <v>58</v>
      </c>
      <c r="J86" s="20">
        <f>E3</f>
        <v>21</v>
      </c>
      <c r="K86" s="21" t="s">
        <v>35</v>
      </c>
    </row>
    <row r="87" spans="1:11" ht="15.75" customHeight="1" x14ac:dyDescent="0.25">
      <c r="A87" s="59">
        <v>100</v>
      </c>
      <c r="B87" s="60">
        <v>1.7002999999999999</v>
      </c>
      <c r="C87" s="60">
        <v>1.5052000000000001</v>
      </c>
      <c r="D87" s="60">
        <v>1.3126</v>
      </c>
      <c r="E87" s="60">
        <v>1.3004</v>
      </c>
      <c r="G87" s="26">
        <f t="shared" ref="G87:G96" si="25">G$48*B87/100</f>
        <v>0.35706299999999996</v>
      </c>
      <c r="H87" s="39">
        <f t="shared" ref="H87:H96" si="26">H$48*C87/100</f>
        <v>0</v>
      </c>
      <c r="I87" s="39">
        <f t="shared" ref="I87:I96" si="27">I$48*D87/100</f>
        <v>0.76130799999999998</v>
      </c>
      <c r="J87" s="40">
        <f t="shared" ref="J87:J96" si="28">J$48*E87/100</f>
        <v>0.27308399999999999</v>
      </c>
      <c r="K87" s="41">
        <f t="shared" ref="K87:K96" si="29">SUM(G87:J87)</f>
        <v>1.3914550000000001</v>
      </c>
    </row>
    <row r="88" spans="1:11" ht="15.75" customHeight="1" x14ac:dyDescent="0.25">
      <c r="A88" s="59">
        <v>200</v>
      </c>
      <c r="B88" s="60">
        <v>1.7873000000000001</v>
      </c>
      <c r="C88" s="60">
        <v>1.5223</v>
      </c>
      <c r="D88" s="60">
        <v>1.3351999999999999</v>
      </c>
      <c r="E88" s="60">
        <v>1.3038000000000001</v>
      </c>
      <c r="G88" s="26">
        <f t="shared" si="25"/>
        <v>0.37533300000000003</v>
      </c>
      <c r="H88" s="39">
        <f t="shared" si="26"/>
        <v>0</v>
      </c>
      <c r="I88" s="39">
        <f t="shared" si="27"/>
        <v>0.77441599999999999</v>
      </c>
      <c r="J88" s="40">
        <f t="shared" si="28"/>
        <v>0.27379800000000004</v>
      </c>
      <c r="K88" s="44">
        <f t="shared" si="29"/>
        <v>1.4235469999999999</v>
      </c>
    </row>
    <row r="89" spans="1:11" ht="15.75" customHeight="1" x14ac:dyDescent="0.25">
      <c r="A89" s="59">
        <v>300</v>
      </c>
      <c r="B89" s="60">
        <v>1.8627</v>
      </c>
      <c r="C89" s="60">
        <v>1.5424</v>
      </c>
      <c r="D89" s="60">
        <v>1.3561000000000001</v>
      </c>
      <c r="E89" s="60">
        <v>1.3109</v>
      </c>
      <c r="G89" s="26">
        <f t="shared" si="25"/>
        <v>0.39116700000000004</v>
      </c>
      <c r="H89" s="39">
        <f t="shared" si="26"/>
        <v>0</v>
      </c>
      <c r="I89" s="39">
        <f t="shared" si="27"/>
        <v>0.78653800000000007</v>
      </c>
      <c r="J89" s="40">
        <f t="shared" si="28"/>
        <v>0.27528900000000001</v>
      </c>
      <c r="K89" s="44">
        <f t="shared" si="29"/>
        <v>1.4529939999999999</v>
      </c>
    </row>
    <row r="90" spans="1:11" ht="15.75" customHeight="1" x14ac:dyDescent="0.25">
      <c r="A90" s="59">
        <v>400</v>
      </c>
      <c r="B90" s="60">
        <v>1.9297</v>
      </c>
      <c r="C90" s="60">
        <v>1.5653999999999999</v>
      </c>
      <c r="D90" s="60">
        <v>1.3774999999999999</v>
      </c>
      <c r="E90" s="60">
        <v>1.3205</v>
      </c>
      <c r="G90" s="26">
        <f t="shared" si="25"/>
        <v>0.40523699999999996</v>
      </c>
      <c r="H90" s="39">
        <f t="shared" si="26"/>
        <v>0</v>
      </c>
      <c r="I90" s="39">
        <f t="shared" si="27"/>
        <v>0.79894999999999994</v>
      </c>
      <c r="J90" s="40">
        <f t="shared" si="28"/>
        <v>0.27730499999999997</v>
      </c>
      <c r="K90" s="44">
        <f t="shared" si="29"/>
        <v>1.4814919999999998</v>
      </c>
    </row>
    <row r="91" spans="1:11" ht="15.75" customHeight="1" x14ac:dyDescent="0.25">
      <c r="A91" s="59">
        <v>500</v>
      </c>
      <c r="B91" s="60">
        <v>1.9986999999999999</v>
      </c>
      <c r="C91" s="60">
        <v>1.5896999999999999</v>
      </c>
      <c r="D91" s="60">
        <v>1.3979999999999999</v>
      </c>
      <c r="E91" s="60">
        <v>1.3322000000000001</v>
      </c>
      <c r="G91" s="26">
        <f t="shared" si="25"/>
        <v>0.41972699999999996</v>
      </c>
      <c r="H91" s="39">
        <f t="shared" si="26"/>
        <v>0</v>
      </c>
      <c r="I91" s="39">
        <f t="shared" si="27"/>
        <v>0.81083999999999989</v>
      </c>
      <c r="J91" s="40">
        <f t="shared" si="28"/>
        <v>0.27976200000000001</v>
      </c>
      <c r="K91" s="44">
        <f t="shared" si="29"/>
        <v>1.5103289999999998</v>
      </c>
    </row>
    <row r="92" spans="1:11" ht="15.75" customHeight="1" x14ac:dyDescent="0.25">
      <c r="A92" s="59">
        <v>600</v>
      </c>
      <c r="B92" s="60">
        <v>2.0411000000000001</v>
      </c>
      <c r="C92" s="60">
        <v>1.6148</v>
      </c>
      <c r="D92" s="60">
        <v>1.4168000000000001</v>
      </c>
      <c r="E92" s="60">
        <v>1.3452</v>
      </c>
      <c r="G92" s="26">
        <f t="shared" si="25"/>
        <v>0.42863100000000004</v>
      </c>
      <c r="H92" s="39">
        <f t="shared" si="26"/>
        <v>0</v>
      </c>
      <c r="I92" s="39">
        <f t="shared" si="27"/>
        <v>0.82174400000000003</v>
      </c>
      <c r="J92" s="40">
        <f t="shared" si="28"/>
        <v>0.28249199999999997</v>
      </c>
      <c r="K92" s="44">
        <f t="shared" si="29"/>
        <v>1.532867</v>
      </c>
    </row>
    <row r="93" spans="1:11" ht="15.75" customHeight="1" x14ac:dyDescent="0.25">
      <c r="A93" s="59">
        <v>700</v>
      </c>
      <c r="B93" s="60">
        <v>2.0884</v>
      </c>
      <c r="C93" s="60">
        <v>1.6412</v>
      </c>
      <c r="D93" s="60">
        <v>1.4345000000000001</v>
      </c>
      <c r="E93" s="60">
        <v>1.3586</v>
      </c>
      <c r="G93" s="26">
        <f t="shared" si="25"/>
        <v>0.43856400000000001</v>
      </c>
      <c r="H93" s="39">
        <f t="shared" si="26"/>
        <v>0</v>
      </c>
      <c r="I93" s="39">
        <f t="shared" si="27"/>
        <v>0.83201000000000003</v>
      </c>
      <c r="J93" s="40">
        <f t="shared" si="28"/>
        <v>0.285306</v>
      </c>
      <c r="K93" s="44">
        <f t="shared" si="29"/>
        <v>1.5558800000000002</v>
      </c>
    </row>
    <row r="94" spans="1:11" ht="15.75" customHeight="1" x14ac:dyDescent="0.25">
      <c r="A94" s="59">
        <v>800</v>
      </c>
      <c r="B94" s="60">
        <v>2.1311</v>
      </c>
      <c r="C94" s="60">
        <v>1.6679999999999999</v>
      </c>
      <c r="D94" s="60">
        <v>1.4499</v>
      </c>
      <c r="E94" s="60">
        <v>1.3716999999999999</v>
      </c>
      <c r="G94" s="26">
        <f t="shared" si="25"/>
        <v>0.44753100000000001</v>
      </c>
      <c r="H94" s="39">
        <f t="shared" si="26"/>
        <v>0</v>
      </c>
      <c r="I94" s="39">
        <f t="shared" si="27"/>
        <v>0.84094199999999997</v>
      </c>
      <c r="J94" s="40">
        <f t="shared" si="28"/>
        <v>0.28805700000000001</v>
      </c>
      <c r="K94" s="44">
        <f t="shared" si="29"/>
        <v>1.57653</v>
      </c>
    </row>
    <row r="95" spans="1:11" ht="15.75" customHeight="1" x14ac:dyDescent="0.25">
      <c r="A95" s="59">
        <v>900</v>
      </c>
      <c r="B95" s="60">
        <v>2.1692</v>
      </c>
      <c r="C95" s="60">
        <v>1.6956</v>
      </c>
      <c r="D95" s="60">
        <v>1.4644999999999999</v>
      </c>
      <c r="E95" s="60">
        <v>1.3846000000000001</v>
      </c>
      <c r="G95" s="26">
        <f t="shared" si="25"/>
        <v>0.45553200000000005</v>
      </c>
      <c r="H95" s="39">
        <f t="shared" si="26"/>
        <v>0</v>
      </c>
      <c r="I95" s="39">
        <f t="shared" si="27"/>
        <v>0.84940999999999989</v>
      </c>
      <c r="J95" s="40">
        <f t="shared" si="28"/>
        <v>0.29076600000000002</v>
      </c>
      <c r="K95" s="44">
        <f t="shared" si="29"/>
        <v>1.5957080000000001</v>
      </c>
    </row>
    <row r="96" spans="1:11" ht="15.75" customHeight="1" x14ac:dyDescent="0.25">
      <c r="A96" s="57">
        <v>1000</v>
      </c>
      <c r="B96" s="58">
        <v>2.2035</v>
      </c>
      <c r="C96" s="58">
        <v>1.7229000000000001</v>
      </c>
      <c r="D96" s="58">
        <v>1.4775</v>
      </c>
      <c r="E96" s="58">
        <v>1.3971</v>
      </c>
      <c r="G96" s="12">
        <f t="shared" si="25"/>
        <v>0.46273500000000001</v>
      </c>
      <c r="H96" s="13">
        <f t="shared" si="26"/>
        <v>0</v>
      </c>
      <c r="I96" s="13">
        <f t="shared" si="27"/>
        <v>0.8569500000000001</v>
      </c>
      <c r="J96" s="14">
        <f t="shared" si="28"/>
        <v>0.29339100000000001</v>
      </c>
      <c r="K96" s="49">
        <f t="shared" si="29"/>
        <v>1.6130760000000002</v>
      </c>
    </row>
    <row r="97" spans="1:8" x14ac:dyDescent="0.25">
      <c r="A97" s="61"/>
      <c r="B97" s="61"/>
      <c r="C97" s="61"/>
      <c r="D97" s="61"/>
      <c r="E97" s="61"/>
    </row>
    <row r="98" spans="1:8" ht="15.75" customHeight="1" x14ac:dyDescent="0.25">
      <c r="A98" s="88" t="s">
        <v>27</v>
      </c>
      <c r="B98" s="88"/>
      <c r="C98" s="88"/>
      <c r="D98" s="1"/>
      <c r="E98" s="6"/>
      <c r="F98" s="6"/>
      <c r="G98" s="6"/>
      <c r="H98" s="6"/>
    </row>
    <row r="99" spans="1:8" x14ac:dyDescent="0.25">
      <c r="A99" s="69" t="s">
        <v>28</v>
      </c>
      <c r="B99" s="69" t="s">
        <v>29</v>
      </c>
      <c r="C99" s="69" t="s">
        <v>15</v>
      </c>
      <c r="D99" s="37"/>
      <c r="E99" s="6"/>
      <c r="F99" s="89" t="s">
        <v>40</v>
      </c>
      <c r="G99" s="90"/>
      <c r="H99" s="91"/>
    </row>
    <row r="100" spans="1:8" ht="15.75" customHeight="1" x14ac:dyDescent="0.25">
      <c r="A100" s="8" cm="1">
        <f t="array" ref="A100">INDEX(LINEST(K87:K96,A87:A96^{1,2}),1,1)</f>
        <v>-9.4215151515150488E-8</v>
      </c>
      <c r="B100" s="8" cm="1">
        <f t="array" ref="B100">INDEX(LINEST(K87:K96,A87:A96^{1,2}),1,2)</f>
        <v>3.4988503030302943E-4</v>
      </c>
      <c r="C100" s="8" cm="1">
        <f t="array" ref="C100">INDEX(LINEST(K87:K96,A87:A96^{1,2}),1,3)</f>
        <v>1.3572238666666665</v>
      </c>
      <c r="D100" s="9"/>
      <c r="E100" s="6"/>
      <c r="F100" s="92">
        <f>$A$100*$A$3^2+$B$100*$A$3+$C$100</f>
        <v>1.5086125939393935</v>
      </c>
      <c r="G100" s="93"/>
      <c r="H100" s="94"/>
    </row>
  </sheetData>
  <dataConsolidate/>
  <mergeCells count="42">
    <mergeCell ref="J1:J2"/>
    <mergeCell ref="K1:K2"/>
    <mergeCell ref="M1:M2"/>
    <mergeCell ref="F5:F7"/>
    <mergeCell ref="G5:G7"/>
    <mergeCell ref="H1:H2"/>
    <mergeCell ref="I1:I2"/>
    <mergeCell ref="H5:H7"/>
    <mergeCell ref="A1:A2"/>
    <mergeCell ref="B1:E1"/>
    <mergeCell ref="F1:F2"/>
    <mergeCell ref="G1:G2"/>
    <mergeCell ref="A5:A7"/>
    <mergeCell ref="B5:B7"/>
    <mergeCell ref="C5:C7"/>
    <mergeCell ref="D5:D7"/>
    <mergeCell ref="E5:E7"/>
    <mergeCell ref="B10:E10"/>
    <mergeCell ref="A23:C23"/>
    <mergeCell ref="F24:H24"/>
    <mergeCell ref="F25:H25"/>
    <mergeCell ref="B28:E28"/>
    <mergeCell ref="A41:D41"/>
    <mergeCell ref="F42:H42"/>
    <mergeCell ref="F43:H43"/>
    <mergeCell ref="A47:A48"/>
    <mergeCell ref="B47:E47"/>
    <mergeCell ref="A60:C60"/>
    <mergeCell ref="F61:H61"/>
    <mergeCell ref="I61:K61"/>
    <mergeCell ref="F62:H62"/>
    <mergeCell ref="I62:K62"/>
    <mergeCell ref="A66:A67"/>
    <mergeCell ref="B66:E66"/>
    <mergeCell ref="A79:C79"/>
    <mergeCell ref="F80:H80"/>
    <mergeCell ref="F81:H81"/>
    <mergeCell ref="A85:A86"/>
    <mergeCell ref="B85:E85"/>
    <mergeCell ref="A98:C98"/>
    <mergeCell ref="F99:H99"/>
    <mergeCell ref="F100:H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t_кип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Машуков Иван Владимирович</dc:creator>
  <cp:lastModifiedBy>Машуков Иван Владимирович</cp:lastModifiedBy>
  <dcterms:created xsi:type="dcterms:W3CDTF">2024-10-04T01:09:59Z</dcterms:created>
  <dcterms:modified xsi:type="dcterms:W3CDTF">2024-10-14T07:20:35Z</dcterms:modified>
</cp:coreProperties>
</file>